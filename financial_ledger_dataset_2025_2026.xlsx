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_STATEMENTS" sheetId="1" state="visible" r:id="rId3"/>
    <sheet name="INVOICES" sheetId="2" state="visible" r:id="rId4"/>
  </sheets>
  <definedNames>
    <definedName function="false" hidden="true" localSheetId="0" name="_xlnm._FilterDatabase" vbProcedure="false">BANK_STATEMENTS!$A$1:$T$496</definedName>
    <definedName function="false" hidden="true" localSheetId="1" name="_xlnm._FilterDatabase" vbProcedure="false">INVOICES!$A$1:$AA$166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<sst xmlns="http://schemas.openxmlformats.org/spreadsheetml/2006/main" count="8589" uniqueCount="2355">
  <si>
    <t xml:space="preserve">Transaction ID</t>
  </si>
  <si>
    <t xml:space="preserve">Transaction Date</t>
  </si>
  <si>
    <t xml:space="preserve">Value Date</t>
  </si>
  <si>
    <t xml:space="preserve">Account Number</t>
  </si>
  <si>
    <t xml:space="preserve">Transaction Type</t>
  </si>
  <si>
    <t xml:space="preserve">Amount (INR)</t>
  </si>
  <si>
    <t xml:space="preserve">Balance After Transaction (INR)</t>
  </si>
  <si>
    <t xml:space="preserve">Mode of Payment</t>
  </si>
  <si>
    <t xml:space="preserve">Transaction Description</t>
  </si>
  <si>
    <t xml:space="preserve">Purpose / Payment For</t>
  </si>
  <si>
    <t xml:space="preserve">Counterparty ID</t>
  </si>
  <si>
    <t xml:space="preserve">Counterparty Name</t>
  </si>
  <si>
    <t xml:space="preserve">Counterparty Type</t>
  </si>
  <si>
    <t xml:space="preserve">Reference Number</t>
  </si>
  <si>
    <t xml:space="preserve">Category</t>
  </si>
  <si>
    <t xml:space="preserve">Subcategory</t>
  </si>
  <si>
    <t xml:space="preserve">Invoice Number(s)</t>
  </si>
  <si>
    <t xml:space="preserve">Payment Status</t>
  </si>
  <si>
    <t xml:space="preserve">GST Amount</t>
  </si>
  <si>
    <t xml:space="preserve">Notes</t>
  </si>
  <si>
    <t xml:space="preserve">TXN-00001</t>
  </si>
  <si>
    <t xml:space="preserve">50100123456789</t>
  </si>
  <si>
    <t xml:space="preserve">Opening Balance</t>
  </si>
  <si>
    <t xml:space="preserve">N/A</t>
  </si>
  <si>
    <t xml:space="preserve">Opening balance brought forward</t>
  </si>
  <si>
    <t xml:space="preserve">Opening Balance as on 01-Apr-2025</t>
  </si>
  <si>
    <t xml:space="preserve">Vertex Digital Solutions Pvt. Ltd. (Self)</t>
  </si>
  <si>
    <t xml:space="preserve">Self</t>
  </si>
  <si>
    <t xml:space="preserve">OPEN-BAL-2025</t>
  </si>
  <si>
    <t xml:space="preserve">Brought Forward</t>
  </si>
  <si>
    <t xml:space="preserve">Success</t>
  </si>
  <si>
    <t xml:space="preserve">Balance brought forward from previous financial year.</t>
  </si>
  <si>
    <t xml:space="preserve">TXN-00002</t>
  </si>
  <si>
    <t xml:space="preserve">Debit</t>
  </si>
  <si>
    <t xml:space="preserve">Debit Card</t>
  </si>
  <si>
    <t xml:space="preserve">Housekeeping supplies</t>
  </si>
  <si>
    <t xml:space="preserve">VEN-016</t>
  </si>
  <si>
    <t xml:space="preserve">Staples Office Solutions</t>
  </si>
  <si>
    <t xml:space="preserve">Vendor</t>
  </si>
  <si>
    <t xml:space="preserve">CARD-XX8685</t>
  </si>
  <si>
    <t xml:space="preserve">Office Supplies</t>
  </si>
  <si>
    <t xml:space="preserve">Consumables</t>
  </si>
  <si>
    <t xml:space="preserve">TXN-00003</t>
  </si>
  <si>
    <t xml:space="preserve">Standing Instruction</t>
  </si>
  <si>
    <t xml:space="preserve">Standing instruction - office rent to OfficeSpace Hyderabad</t>
  </si>
  <si>
    <t xml:space="preserve">Office Rent - April 2025</t>
  </si>
  <si>
    <t xml:space="preserve">VEN-002</t>
  </si>
  <si>
    <t xml:space="preserve">OfficeSpace Hyderabad</t>
  </si>
  <si>
    <t xml:space="preserve">SI5148014</t>
  </si>
  <si>
    <t xml:space="preserve">Rent</t>
  </si>
  <si>
    <t xml:space="preserve">Office Rent</t>
  </si>
  <si>
    <t xml:space="preserve">TXN-00004</t>
  </si>
  <si>
    <t xml:space="preserve">Credit</t>
  </si>
  <si>
    <t xml:space="preserve">Bank Transfer</t>
  </si>
  <si>
    <t xml:space="preserve">Bank Transfer advance received from Trident Automobiles Pvt Ltd</t>
  </si>
  <si>
    <t xml:space="preserve">Customer advance for upcoming project (no invoice raised yet)</t>
  </si>
  <si>
    <t xml:space="preserve">CUS-013</t>
  </si>
  <si>
    <t xml:space="preserve">Trident Automobiles Pvt Ltd</t>
  </si>
  <si>
    <t xml:space="preserve">Customer</t>
  </si>
  <si>
    <t xml:space="preserve">BTR200266104</t>
  </si>
  <si>
    <t xml:space="preserve">Income</t>
  </si>
  <si>
    <t xml:space="preserve">Customer Advance</t>
  </si>
  <si>
    <t xml:space="preserve">Advance received; to be adjusted against a future invoice.</t>
  </si>
  <si>
    <t xml:space="preserve">TXN-00005</t>
  </si>
  <si>
    <t xml:space="preserve">ECS/NACH</t>
  </si>
  <si>
    <t xml:space="preserve">Loan EMI debited to HDFC Bank Ltd</t>
  </si>
  <si>
    <t xml:space="preserve">Business Loan EMI - April 2025</t>
  </si>
  <si>
    <t xml:space="preserve">VEN-011</t>
  </si>
  <si>
    <t xml:space="preserve">HDFC Bank Ltd</t>
  </si>
  <si>
    <t xml:space="preserve">Bank</t>
  </si>
  <si>
    <t xml:space="preserve">NACH301266105</t>
  </si>
  <si>
    <t xml:space="preserve">Loan EMI</t>
  </si>
  <si>
    <t xml:space="preserve">Business Loan Repayment</t>
  </si>
  <si>
    <t xml:space="preserve">TXN-00006</t>
  </si>
  <si>
    <t xml:space="preserve">UPI</t>
  </si>
  <si>
    <t xml:space="preserve">UPI credit received from Silverline Media Pvt Ltd</t>
  </si>
  <si>
    <t xml:space="preserve">Payment received against Invoice INV-2025-0001</t>
  </si>
  <si>
    <t xml:space="preserve">CUS-010</t>
  </si>
  <si>
    <t xml:space="preserve">Silverline Media Pvt Ltd</t>
  </si>
  <si>
    <t xml:space="preserve">UPI829281395289</t>
  </si>
  <si>
    <t xml:space="preserve">Revenue - UI/UX Design Services</t>
  </si>
  <si>
    <t xml:space="preserve">INV-2025-0001</t>
  </si>
  <si>
    <t xml:space="preserve">TXN-00007</t>
  </si>
  <si>
    <t xml:space="preserve">ECS debit - internet charges to ACT Fibernet Business</t>
  </si>
  <si>
    <t xml:space="preserve">Internet Charges - April 2025</t>
  </si>
  <si>
    <t xml:space="preserve">VEN-004</t>
  </si>
  <si>
    <t xml:space="preserve">ACT Fibernet Business</t>
  </si>
  <si>
    <t xml:space="preserve">NACH325445442</t>
  </si>
  <si>
    <t xml:space="preserve">Utilities</t>
  </si>
  <si>
    <t xml:space="preserve">Internet</t>
  </si>
  <si>
    <t xml:space="preserve">TXN-00008</t>
  </si>
  <si>
    <t xml:space="preserve">CARD-XX5748</t>
  </si>
  <si>
    <t xml:space="preserve">TXN-00009</t>
  </si>
  <si>
    <t xml:space="preserve">Cheque book / SMS alert / misc bank fee</t>
  </si>
  <si>
    <t xml:space="preserve">Miscellaneous Bank Fee</t>
  </si>
  <si>
    <t xml:space="preserve">BTR940345611</t>
  </si>
  <si>
    <t xml:space="preserve">Bank Charges</t>
  </si>
  <si>
    <t xml:space="preserve">Miscellaneous Fees</t>
  </si>
  <si>
    <t xml:space="preserve">TXN-00010</t>
  </si>
  <si>
    <t xml:space="preserve">NEFT</t>
  </si>
  <si>
    <t xml:space="preserve">CSR / donation payment</t>
  </si>
  <si>
    <t xml:space="preserve">Corporate Social Responsibility Contribution</t>
  </si>
  <si>
    <t xml:space="preserve">NGO-001</t>
  </si>
  <si>
    <t xml:space="preserve">Hyderabad Community Welfare Trust</t>
  </si>
  <si>
    <t xml:space="preserve">N512117135993</t>
  </si>
  <si>
    <t xml:space="preserve">CSR</t>
  </si>
  <si>
    <t xml:space="preserve">Donation</t>
  </si>
  <si>
    <t xml:space="preserve">TXN-00011</t>
  </si>
  <si>
    <t xml:space="preserve">Refund processed to Silverline Media Pvt Ltd</t>
  </si>
  <si>
    <t xml:space="preserve">Partial refund against Invoice INV-2025-0001</t>
  </si>
  <si>
    <t xml:space="preserve">N452126456052</t>
  </si>
  <si>
    <t xml:space="preserve">Refund</t>
  </si>
  <si>
    <t xml:space="preserve">Customer Refund</t>
  </si>
  <si>
    <t xml:space="preserve">Partial refund against INV-2025-0001 issued after full payment was received.</t>
  </si>
  <si>
    <t xml:space="preserve">TXN-00012</t>
  </si>
  <si>
    <t xml:space="preserve">Credit Card</t>
  </si>
  <si>
    <t xml:space="preserve">Auto-debit - AWS cloud hosting usage charges</t>
  </si>
  <si>
    <t xml:space="preserve">Cloud Hosting Charges - April 2025</t>
  </si>
  <si>
    <t xml:space="preserve">VEN-012</t>
  </si>
  <si>
    <t xml:space="preserve">Amazon Web Services India</t>
  </si>
  <si>
    <t xml:space="preserve">CARD-XX3926</t>
  </si>
  <si>
    <t xml:space="preserve">Cloud Services</t>
  </si>
  <si>
    <t xml:space="preserve">AWS Hosting</t>
  </si>
  <si>
    <t xml:space="preserve">TXN-00013</t>
  </si>
  <si>
    <t xml:space="preserve">Flight booking - client visit</t>
  </si>
  <si>
    <t xml:space="preserve">Flight booking - client visit - employee travel</t>
  </si>
  <si>
    <t xml:space="preserve">VEN-014</t>
  </si>
  <si>
    <t xml:space="preserve">Indian Oil Corporation Ltd</t>
  </si>
  <si>
    <t xml:space="preserve">CARD-XX1520</t>
  </si>
  <si>
    <t xml:space="preserve">Travel</t>
  </si>
  <si>
    <t xml:space="preserve">Business Travel</t>
  </si>
  <si>
    <t xml:space="preserve">TXN-00014</t>
  </si>
  <si>
    <t xml:space="preserve">Keyboard &amp; mouse purchase</t>
  </si>
  <si>
    <t xml:space="preserve">VEN-009</t>
  </si>
  <si>
    <t xml:space="preserve">Dell Technologies India Pvt Ltd</t>
  </si>
  <si>
    <t xml:space="preserve">CARD-XX7873</t>
  </si>
  <si>
    <t xml:space="preserve">Equipment</t>
  </si>
  <si>
    <t xml:space="preserve">IT Equipment</t>
  </si>
  <si>
    <t xml:space="preserve">TXN-00015</t>
  </si>
  <si>
    <t xml:space="preserve">Employee Provident Fund (EPF) contribution remittance</t>
  </si>
  <si>
    <t xml:space="preserve">EPF Contribution - April 2025</t>
  </si>
  <si>
    <t xml:space="preserve">GOV-003</t>
  </si>
  <si>
    <t xml:space="preserve">EPFO (Employees' Provident Fund Organisation)</t>
  </si>
  <si>
    <t xml:space="preserve">Government</t>
  </si>
  <si>
    <t xml:space="preserve">N175983600330</t>
  </si>
  <si>
    <t xml:space="preserve">Statutory Payments</t>
  </si>
  <si>
    <t xml:space="preserve">Provident Fund</t>
  </si>
  <si>
    <t xml:space="preserve">TXN-00016</t>
  </si>
  <si>
    <t xml:space="preserve">ECS debit - electricity charges to TSSPDCL</t>
  </si>
  <si>
    <t xml:space="preserve">Electricity Bill - April 2025</t>
  </si>
  <si>
    <t xml:space="preserve">VEN-003</t>
  </si>
  <si>
    <t xml:space="preserve">TSSPDCL</t>
  </si>
  <si>
    <t xml:space="preserve">NACH601201517</t>
  </si>
  <si>
    <t xml:space="preserve">Electricity</t>
  </si>
  <si>
    <t xml:space="preserve">TXN-00017</t>
  </si>
  <si>
    <t xml:space="preserve">NEFT payment made to Reliance Jio Business</t>
  </si>
  <si>
    <t xml:space="preserve">Payment against Bill BILL-2025-0003</t>
  </si>
  <si>
    <t xml:space="preserve">VEN-017</t>
  </si>
  <si>
    <t xml:space="preserve">Reliance Jio Business</t>
  </si>
  <si>
    <t xml:space="preserve">N397538403260</t>
  </si>
  <si>
    <t xml:space="preserve">Expense</t>
  </si>
  <si>
    <t xml:space="preserve">Corporate Telecom Plan Charges</t>
  </si>
  <si>
    <t xml:space="preserve">BILL-2025-0003</t>
  </si>
  <si>
    <t xml:space="preserve">TXN-00018</t>
  </si>
  <si>
    <t xml:space="preserve">LinkedIn Ads campaign spend</t>
  </si>
  <si>
    <t xml:space="preserve">SVC-005</t>
  </si>
  <si>
    <t xml:space="preserve">BrandCraft Marketing Agency</t>
  </si>
  <si>
    <t xml:space="preserve">Service Provider</t>
  </si>
  <si>
    <t xml:space="preserve">UPI122275801718</t>
  </si>
  <si>
    <t xml:space="preserve">Marketing</t>
  </si>
  <si>
    <t xml:space="preserve">Advertising &amp; Promotion</t>
  </si>
  <si>
    <t xml:space="preserve">TXN-00019</t>
  </si>
  <si>
    <t xml:space="preserve">GSTR-3B tax payment to GST Department (Govt. of India)</t>
  </si>
  <si>
    <t xml:space="preserve">GST Payment (GSTR-3B) - April 2025</t>
  </si>
  <si>
    <t xml:space="preserve">GOV-001</t>
  </si>
  <si>
    <t xml:space="preserve">GST Department (Govt. of India)</t>
  </si>
  <si>
    <t xml:space="preserve">N900711423125</t>
  </si>
  <si>
    <t xml:space="preserve">Taxes</t>
  </si>
  <si>
    <t xml:space="preserve">GST Payment</t>
  </si>
  <si>
    <t xml:space="preserve">TXN-00020</t>
  </si>
  <si>
    <t xml:space="preserve">RTGS</t>
  </si>
  <si>
    <t xml:space="preserve">RTGS payment made to ProAudit &amp; Co</t>
  </si>
  <si>
    <t xml:space="preserve">Partial payment against Bill BILL-2025-0001</t>
  </si>
  <si>
    <t xml:space="preserve">SVC-007</t>
  </si>
  <si>
    <t xml:space="preserve">ProAudit &amp; Co</t>
  </si>
  <si>
    <t xml:space="preserve">HDFCR90701901012</t>
  </si>
  <si>
    <t xml:space="preserve">Annual Statutory Audit Fees</t>
  </si>
  <si>
    <t xml:space="preserve">BILL-2025-0001</t>
  </si>
  <si>
    <t xml:space="preserve">Partial payment made; balance outstanding.</t>
  </si>
  <si>
    <t xml:space="preserve">TXN-00021</t>
  </si>
  <si>
    <t xml:space="preserve">NEFT credit received from Pioneer Education Trust</t>
  </si>
  <si>
    <t xml:space="preserve">Installment 1 of 2 against Invoice INV-2025-0002</t>
  </si>
  <si>
    <t xml:space="preserve">CUS-016</t>
  </si>
  <si>
    <t xml:space="preserve">Pioneer Education Trust</t>
  </si>
  <si>
    <t xml:space="preserve">N269428748637</t>
  </si>
  <si>
    <t xml:space="preserve">Revenue - Technical Support Retainer - Monthly</t>
  </si>
  <si>
    <t xml:space="preserve">INV-2025-0002</t>
  </si>
  <si>
    <t xml:space="preserve">Part payment 1/2 for INV-2025-0002</t>
  </si>
  <si>
    <t xml:space="preserve">TXN-00022</t>
  </si>
  <si>
    <t xml:space="preserve">RTGS credit received from Stellar Textiles Pvt Ltd</t>
  </si>
  <si>
    <t xml:space="preserve">Payment received against Invoice INV-2025-0006</t>
  </si>
  <si>
    <t xml:space="preserve">CUS-025</t>
  </si>
  <si>
    <t xml:space="preserve">Stellar Textiles Pvt Ltd</t>
  </si>
  <si>
    <t xml:space="preserve">HDFCR13624610544</t>
  </si>
  <si>
    <t xml:space="preserve">Revenue - E-commerce Platform Development</t>
  </si>
  <si>
    <t xml:space="preserve">INV-2025-0006</t>
  </si>
  <si>
    <t xml:space="preserve">TXN-00023</t>
  </si>
  <si>
    <t xml:space="preserve">BTR871241205</t>
  </si>
  <si>
    <t xml:space="preserve">TXN-00024</t>
  </si>
  <si>
    <t xml:space="preserve">RTGS credit received from Pioneer Education Trust</t>
  </si>
  <si>
    <t xml:space="preserve">Installment 2 of 2 against Invoice INV-2025-0002</t>
  </si>
  <si>
    <t xml:space="preserve">HDFCR69488029273</t>
  </si>
  <si>
    <t xml:space="preserve">Part payment 2/2 for INV-2025-0002</t>
  </si>
  <si>
    <t xml:space="preserve">TXN-00025</t>
  </si>
  <si>
    <t xml:space="preserve">Bank charges debited by HDFC Bank Ltd</t>
  </si>
  <si>
    <t xml:space="preserve">Bank Charges &amp; Fees - April 2025</t>
  </si>
  <si>
    <t xml:space="preserve">BTR119483749</t>
  </si>
  <si>
    <t xml:space="preserve">Account Maintenance / Transaction Fees</t>
  </si>
  <si>
    <t xml:space="preserve">TXN-00026</t>
  </si>
  <si>
    <t xml:space="preserve">Salary credited to Ramesh Kumar (Software Engineer)</t>
  </si>
  <si>
    <t xml:space="preserve">Monthly Salary - April 2025</t>
  </si>
  <si>
    <t xml:space="preserve">EMP-001</t>
  </si>
  <si>
    <t xml:space="preserve">Ramesh Kumar</t>
  </si>
  <si>
    <t xml:space="preserve">Employee</t>
  </si>
  <si>
    <t xml:space="preserve">BTR626189784</t>
  </si>
  <si>
    <t xml:space="preserve">Salary</t>
  </si>
  <si>
    <t xml:space="preserve">Salary - Engineering</t>
  </si>
  <si>
    <t xml:space="preserve">TXN-00027</t>
  </si>
  <si>
    <t xml:space="preserve">Salary credited to Priya Sharma (Senior Developer)</t>
  </si>
  <si>
    <t xml:space="preserve">EMP-002</t>
  </si>
  <si>
    <t xml:space="preserve">Priya Sharma</t>
  </si>
  <si>
    <t xml:space="preserve">BTR236961811</t>
  </si>
  <si>
    <t xml:space="preserve">TXN-00028</t>
  </si>
  <si>
    <t xml:space="preserve">Salary credited to Arjun Reddy (Project Manager)</t>
  </si>
  <si>
    <t xml:space="preserve">EMP-003</t>
  </si>
  <si>
    <t xml:space="preserve">Arjun Reddy</t>
  </si>
  <si>
    <t xml:space="preserve">BTR855711672</t>
  </si>
  <si>
    <t xml:space="preserve">Salary - Delivery</t>
  </si>
  <si>
    <t xml:space="preserve">TXN-00029</t>
  </si>
  <si>
    <t xml:space="preserve">Salary credited to Sneha Iyer (UI/UX Designer)</t>
  </si>
  <si>
    <t xml:space="preserve">EMP-004</t>
  </si>
  <si>
    <t xml:space="preserve">Sneha Iyer</t>
  </si>
  <si>
    <t xml:space="preserve">BTR305765019</t>
  </si>
  <si>
    <t xml:space="preserve">Salary - Design</t>
  </si>
  <si>
    <t xml:space="preserve">TXN-00030</t>
  </si>
  <si>
    <t xml:space="preserve">Salary credited to Vikram Singh (DevOps Engineer)</t>
  </si>
  <si>
    <t xml:space="preserve">EMP-005</t>
  </si>
  <si>
    <t xml:space="preserve">Vikram Singh</t>
  </si>
  <si>
    <t xml:space="preserve">BTR707298934</t>
  </si>
  <si>
    <t xml:space="preserve">TXN-00031</t>
  </si>
  <si>
    <t xml:space="preserve">Salary credited to Ananya Rao (QA Engineer)</t>
  </si>
  <si>
    <t xml:space="preserve">EMP-006</t>
  </si>
  <si>
    <t xml:space="preserve">Ananya Rao</t>
  </si>
  <si>
    <t xml:space="preserve">BTR173578403</t>
  </si>
  <si>
    <t xml:space="preserve">TXN-00032</t>
  </si>
  <si>
    <t xml:space="preserve">Salary credited to Karthik Nair (Business Analyst)</t>
  </si>
  <si>
    <t xml:space="preserve">EMP-007</t>
  </si>
  <si>
    <t xml:space="preserve">Karthik Nair</t>
  </si>
  <si>
    <t xml:space="preserve">BTR412470884</t>
  </si>
  <si>
    <t xml:space="preserve">TXN-00033</t>
  </si>
  <si>
    <t xml:space="preserve">Salary credited to Divya Menon (HR Manager)</t>
  </si>
  <si>
    <t xml:space="preserve">EMP-008</t>
  </si>
  <si>
    <t xml:space="preserve">Divya Menon</t>
  </si>
  <si>
    <t xml:space="preserve">BTR333195739</t>
  </si>
  <si>
    <t xml:space="preserve">Salary - Human Resources</t>
  </si>
  <si>
    <t xml:space="preserve">TXN-00034</t>
  </si>
  <si>
    <t xml:space="preserve">Salary credited to Rahul Verma (Sales Executive)</t>
  </si>
  <si>
    <t xml:space="preserve">EMP-009</t>
  </si>
  <si>
    <t xml:space="preserve">Rahul Verma</t>
  </si>
  <si>
    <t xml:space="preserve">BTR190211916</t>
  </si>
  <si>
    <t xml:space="preserve">Salary - Sales</t>
  </si>
  <si>
    <t xml:space="preserve">TXN-00035</t>
  </si>
  <si>
    <t xml:space="preserve">Salary credited to Meera Pillai (Accounts Manager)</t>
  </si>
  <si>
    <t xml:space="preserve">EMP-010</t>
  </si>
  <si>
    <t xml:space="preserve">Meera Pillai</t>
  </si>
  <si>
    <t xml:space="preserve">BTR331735802</t>
  </si>
  <si>
    <t xml:space="preserve">Salary - Finance</t>
  </si>
  <si>
    <t xml:space="preserve">TXN-00036</t>
  </si>
  <si>
    <t xml:space="preserve">Salary credited to Suresh Babu (Technical Lead)</t>
  </si>
  <si>
    <t xml:space="preserve">EMP-011</t>
  </si>
  <si>
    <t xml:space="preserve">Suresh Babu</t>
  </si>
  <si>
    <t xml:space="preserve">BTR332924657</t>
  </si>
  <si>
    <t xml:space="preserve">TXN-00037</t>
  </si>
  <si>
    <t xml:space="preserve">Salary credited to Kavya Krishnan (Marketing Executive)</t>
  </si>
  <si>
    <t xml:space="preserve">EMP-012</t>
  </si>
  <si>
    <t xml:space="preserve">Kavya Krishnan</t>
  </si>
  <si>
    <t xml:space="preserve">BTR337844668</t>
  </si>
  <si>
    <t xml:space="preserve">Salary - Marketing</t>
  </si>
  <si>
    <t xml:space="preserve">TXN-00038</t>
  </si>
  <si>
    <t xml:space="preserve">Cash</t>
  </si>
  <si>
    <t xml:space="preserve">Stationery purchase</t>
  </si>
  <si>
    <t xml:space="preserve">REF000436</t>
  </si>
  <si>
    <t xml:space="preserve">TXN-00039</t>
  </si>
  <si>
    <t xml:space="preserve">NEFT payment made to KPMG Advisory Services</t>
  </si>
  <si>
    <t xml:space="preserve">Payment against Bill BILL-2025-0005</t>
  </si>
  <si>
    <t xml:space="preserve">SVC-003</t>
  </si>
  <si>
    <t xml:space="preserve">KPMG Advisory Services</t>
  </si>
  <si>
    <t xml:space="preserve">N378655197029</t>
  </si>
  <si>
    <t xml:space="preserve">Process Consulting Engagement</t>
  </si>
  <si>
    <t xml:space="preserve">BILL-2025-0005</t>
  </si>
  <si>
    <t xml:space="preserve">TXN-00040</t>
  </si>
  <si>
    <t xml:space="preserve">Office Rent - May 2025</t>
  </si>
  <si>
    <t xml:space="preserve">SI6077776</t>
  </si>
  <si>
    <t xml:space="preserve">TXN-00041</t>
  </si>
  <si>
    <t xml:space="preserve">RTGS payment made to Staples Office Solutions</t>
  </si>
  <si>
    <t xml:space="preserve">Payment against Bill BILL-2025-0004</t>
  </si>
  <si>
    <t xml:space="preserve">HDFCR11114292395</t>
  </si>
  <si>
    <t xml:space="preserve">Pantry &amp; Consumables Supply</t>
  </si>
  <si>
    <t xml:space="preserve">BILL-2025-0004</t>
  </si>
  <si>
    <t xml:space="preserve">TXN-00042</t>
  </si>
  <si>
    <t xml:space="preserve">Business Loan EMI - May 2025</t>
  </si>
  <si>
    <t xml:space="preserve">NACH626122727</t>
  </si>
  <si>
    <t xml:space="preserve">TXN-00043</t>
  </si>
  <si>
    <t xml:space="preserve">UPI251571282408</t>
  </si>
  <si>
    <t xml:space="preserve">TXN-00044</t>
  </si>
  <si>
    <t xml:space="preserve">NEFT credit received from Silverline Media Pvt Ltd</t>
  </si>
  <si>
    <t xml:space="preserve">Payment received against Invoice INV-2025-0007</t>
  </si>
  <si>
    <t xml:space="preserve">N984233326609</t>
  </si>
  <si>
    <t xml:space="preserve">Revenue - Cloud Migration Services</t>
  </si>
  <si>
    <t xml:space="preserve">INV-2025-0007</t>
  </si>
  <si>
    <t xml:space="preserve">TXN-00045</t>
  </si>
  <si>
    <t xml:space="preserve">UPI payment made to Dell Technologies India Pvt Ltd</t>
  </si>
  <si>
    <t xml:space="preserve">Payment against Bill BILL-2025-0002</t>
  </si>
  <si>
    <t xml:space="preserve">UPI405325297350</t>
  </si>
  <si>
    <t xml:space="preserve">Office IT Equipment Purchase</t>
  </si>
  <si>
    <t xml:space="preserve">BILL-2025-0002</t>
  </si>
  <si>
    <t xml:space="preserve">TXN-00046</t>
  </si>
  <si>
    <t xml:space="preserve">Internet Charges - May 2025</t>
  </si>
  <si>
    <t xml:space="preserve">NACH195476056</t>
  </si>
  <si>
    <t xml:space="preserve">TXN-00047</t>
  </si>
  <si>
    <t xml:space="preserve">RTGS payment made to Reliance Jio Business</t>
  </si>
  <si>
    <t xml:space="preserve">Installment 1 of 2 against Bill BILL-2025-0007</t>
  </si>
  <si>
    <t xml:space="preserve">HDFCR87161199355</t>
  </si>
  <si>
    <t xml:space="preserve">Mobile Data Plan Billing</t>
  </si>
  <si>
    <t xml:space="preserve">BILL-2025-0007</t>
  </si>
  <si>
    <t xml:space="preserve">Part payment 1/2 for BILL-2025-0007</t>
  </si>
  <si>
    <t xml:space="preserve">TXN-00048</t>
  </si>
  <si>
    <t xml:space="preserve">Cloud Hosting Charges - May 2025</t>
  </si>
  <si>
    <t xml:space="preserve">CARD-XX4788</t>
  </si>
  <si>
    <t xml:space="preserve">TXN-00049</t>
  </si>
  <si>
    <t xml:space="preserve">UPI payment made to Reliance Jio Business</t>
  </si>
  <si>
    <t xml:space="preserve">Installment 2 of 2 against Bill BILL-2025-0007</t>
  </si>
  <si>
    <t xml:space="preserve">UPI495312802392</t>
  </si>
  <si>
    <t xml:space="preserve">Part payment 2/2 for BILL-2025-0007</t>
  </si>
  <si>
    <t xml:space="preserve">TXN-00050</t>
  </si>
  <si>
    <t xml:space="preserve">EPF Contribution - May 2025</t>
  </si>
  <si>
    <t xml:space="preserve">N232257377808</t>
  </si>
  <si>
    <t xml:space="preserve">TXN-00051</t>
  </si>
  <si>
    <t xml:space="preserve">Cheque</t>
  </si>
  <si>
    <t xml:space="preserve">Cheque credit received from Crystal Clear Water Solutions</t>
  </si>
  <si>
    <t xml:space="preserve">Installment 1 of 2 against Invoice INV-2025-0009</t>
  </si>
  <si>
    <t xml:space="preserve">CUS-015</t>
  </si>
  <si>
    <t xml:space="preserve">Crystal Clear Water Solutions</t>
  </si>
  <si>
    <t xml:space="preserve">CHQ837890</t>
  </si>
  <si>
    <t xml:space="preserve">Revenue - SaaS Subscription - Enterprise Plan</t>
  </si>
  <si>
    <t xml:space="preserve">INV-2025-0009</t>
  </si>
  <si>
    <t xml:space="preserve">Part payment 1/2 for INV-2025-0009</t>
  </si>
  <si>
    <t xml:space="preserve">TXN-00052</t>
  </si>
  <si>
    <t xml:space="preserve">Electricity Bill - May 2025</t>
  </si>
  <si>
    <t xml:space="preserve">NACH599447687</t>
  </si>
  <si>
    <t xml:space="preserve">TXN-00053</t>
  </si>
  <si>
    <t xml:space="preserve">NEFT credit received from Skyline E-Commerce Pvt Ltd</t>
  </si>
  <si>
    <t xml:space="preserve">Consolidated payment against invoices INV-2025-0003, INV-2025-0004, INV-2025-0005</t>
  </si>
  <si>
    <t xml:space="preserve">CUS-019</t>
  </si>
  <si>
    <t xml:space="preserve">Skyline E-Commerce Pvt Ltd</t>
  </si>
  <si>
    <t xml:space="preserve">N846756899129</t>
  </si>
  <si>
    <t xml:space="preserve">Revenue - Consolidated Invoice Settlement</t>
  </si>
  <si>
    <t xml:space="preserve">INV-2025-0003, INV-2025-0004, INV-2025-0005</t>
  </si>
  <si>
    <t xml:space="preserve">Single payment settling 3 invoices together: INV-2025-0003, INV-2025-0004, INV-2025-0005.</t>
  </si>
  <si>
    <t xml:space="preserve">TXN-00054</t>
  </si>
  <si>
    <t xml:space="preserve">Interest credited on fixed deposit</t>
  </si>
  <si>
    <t xml:space="preserve">Fixed Deposit Interest Income</t>
  </si>
  <si>
    <t xml:space="preserve">BTR913322078</t>
  </si>
  <si>
    <t xml:space="preserve">Other Income</t>
  </si>
  <si>
    <t xml:space="preserve">Interest Income</t>
  </si>
  <si>
    <t xml:space="preserve">TXN-00055</t>
  </si>
  <si>
    <t xml:space="preserve">VEN-015</t>
  </si>
  <si>
    <t xml:space="preserve">MakeMyTrip Business</t>
  </si>
  <si>
    <t xml:space="preserve">CARD-XX5514</t>
  </si>
  <si>
    <t xml:space="preserve">TXN-00056</t>
  </si>
  <si>
    <t xml:space="preserve">Petty cash withdrawal for office use</t>
  </si>
  <si>
    <t xml:space="preserve">Petty Cash Withdrawal</t>
  </si>
  <si>
    <t xml:space="preserve">REF000494</t>
  </si>
  <si>
    <t xml:space="preserve">Office Expense</t>
  </si>
  <si>
    <t xml:space="preserve">Petty Cash</t>
  </si>
  <si>
    <t xml:space="preserve">TXN-00057</t>
  </si>
  <si>
    <t xml:space="preserve">GST Payment (GSTR-3B) - May 2025</t>
  </si>
  <si>
    <t xml:space="preserve">N937497638467</t>
  </si>
  <si>
    <t xml:space="preserve">TXN-00058</t>
  </si>
  <si>
    <t xml:space="preserve">Bank Transfer payment made to Adobe Systems India Pvt Ltd</t>
  </si>
  <si>
    <t xml:space="preserve">Payment against Bill BILL-2025-0008</t>
  </si>
  <si>
    <t xml:space="preserve">VEN-006</t>
  </si>
  <si>
    <t xml:space="preserve">Adobe Systems India Pvt Ltd</t>
  </si>
  <si>
    <t xml:space="preserve">BTR189785264</t>
  </si>
  <si>
    <t xml:space="preserve">Annual Software License Renewal</t>
  </si>
  <si>
    <t xml:space="preserve">BILL-2025-0008</t>
  </si>
  <si>
    <t xml:space="preserve">TXN-00059</t>
  </si>
  <si>
    <t xml:space="preserve">Bank Charges &amp; Fees - May 2025</t>
  </si>
  <si>
    <t xml:space="preserve">BTR106523202</t>
  </si>
  <si>
    <t xml:space="preserve">TXN-00060</t>
  </si>
  <si>
    <t xml:space="preserve">UPI credit received from Redwood Constructions Pvt Ltd</t>
  </si>
  <si>
    <t xml:space="preserve">Partial payment against Invoice INV-2025-0012</t>
  </si>
  <si>
    <t xml:space="preserve">CUS-018</t>
  </si>
  <si>
    <t xml:space="preserve">Redwood Constructions Pvt Ltd</t>
  </si>
  <si>
    <t xml:space="preserve">UPI632278404748</t>
  </si>
  <si>
    <t xml:space="preserve">Revenue - Custom Software Development</t>
  </si>
  <si>
    <t xml:space="preserve">INV-2025-0012</t>
  </si>
  <si>
    <t xml:space="preserve">Partial payment received; balance outstanding.</t>
  </si>
  <si>
    <t xml:space="preserve">TXN-00061</t>
  </si>
  <si>
    <t xml:space="preserve">NEFT payment made to Staples Office Solutions</t>
  </si>
  <si>
    <t xml:space="preserve">Payment against Bill BILL-2025-0006</t>
  </si>
  <si>
    <t xml:space="preserve">N575515188212</t>
  </si>
  <si>
    <t xml:space="preserve">BILL-2025-0006</t>
  </si>
  <si>
    <t xml:space="preserve">Paid after due date</t>
  </si>
  <si>
    <t xml:space="preserve">TXN-00062</t>
  </si>
  <si>
    <t xml:space="preserve">UPI credit received from Crystal Clear Water Solutions</t>
  </si>
  <si>
    <t xml:space="preserve">Installment 2 of 2 against Invoice INV-2025-0009</t>
  </si>
  <si>
    <t xml:space="preserve">UPI798226597581</t>
  </si>
  <si>
    <t xml:space="preserve">Part payment 2/2 for INV-2025-0009</t>
  </si>
  <si>
    <t xml:space="preserve">TXN-00063</t>
  </si>
  <si>
    <t xml:space="preserve">Monthly Salary - May 2025</t>
  </si>
  <si>
    <t xml:space="preserve">BTR744946391</t>
  </si>
  <si>
    <t xml:space="preserve">TXN-00064</t>
  </si>
  <si>
    <t xml:space="preserve">BTR870205352</t>
  </si>
  <si>
    <t xml:space="preserve">TXN-00065</t>
  </si>
  <si>
    <t xml:space="preserve">BTR292688957</t>
  </si>
  <si>
    <t xml:space="preserve">TXN-00066</t>
  </si>
  <si>
    <t xml:space="preserve">BTR869621461</t>
  </si>
  <si>
    <t xml:space="preserve">TXN-00067</t>
  </si>
  <si>
    <t xml:space="preserve">BTR229437137</t>
  </si>
  <si>
    <t xml:space="preserve">TXN-00068</t>
  </si>
  <si>
    <t xml:space="preserve">BTR457644435</t>
  </si>
  <si>
    <t xml:space="preserve">TXN-00069</t>
  </si>
  <si>
    <t xml:space="preserve">BTR116354050</t>
  </si>
  <si>
    <t xml:space="preserve">TXN-00070</t>
  </si>
  <si>
    <t xml:space="preserve">BTR988609621</t>
  </si>
  <si>
    <t xml:space="preserve">TXN-00071</t>
  </si>
  <si>
    <t xml:space="preserve">BTR349094402</t>
  </si>
  <si>
    <t xml:space="preserve">TXN-00072</t>
  </si>
  <si>
    <t xml:space="preserve">BTR130978343</t>
  </si>
  <si>
    <t xml:space="preserve">TXN-00073</t>
  </si>
  <si>
    <t xml:space="preserve">BTR690081966</t>
  </si>
  <si>
    <t xml:space="preserve">TXN-00074</t>
  </si>
  <si>
    <t xml:space="preserve">BTR195242498</t>
  </si>
  <si>
    <t xml:space="preserve">TXN-00075</t>
  </si>
  <si>
    <t xml:space="preserve">NEFT credit received from Lakeside Resorts Pvt Ltd</t>
  </si>
  <si>
    <t xml:space="preserve">Payment received against Invoice INV-2025-0008</t>
  </si>
  <si>
    <t xml:space="preserve">CUS-021</t>
  </si>
  <si>
    <t xml:space="preserve">Lakeside Resorts Pvt Ltd</t>
  </si>
  <si>
    <t xml:space="preserve">N672023615615</t>
  </si>
  <si>
    <t xml:space="preserve">INV-2025-0008</t>
  </si>
  <si>
    <t xml:space="preserve">TXN-00076</t>
  </si>
  <si>
    <t xml:space="preserve">NEFT credit received from Metro Grocery Chain Pvt Ltd</t>
  </si>
  <si>
    <t xml:space="preserve">Payment received against Invoice INV-2025-0011</t>
  </si>
  <si>
    <t xml:space="preserve">CUS-022</t>
  </si>
  <si>
    <t xml:space="preserve">Metro Grocery Chain Pvt Ltd</t>
  </si>
  <si>
    <t xml:space="preserve">N968318764031</t>
  </si>
  <si>
    <t xml:space="preserve">INV-2025-0011</t>
  </si>
  <si>
    <t xml:space="preserve">TXN-00077</t>
  </si>
  <si>
    <t xml:space="preserve">Office Rent - June 2025</t>
  </si>
  <si>
    <t xml:space="preserve">SI5040220</t>
  </si>
  <si>
    <t xml:space="preserve">TXN-00078</t>
  </si>
  <si>
    <t xml:space="preserve">UPI940013433428</t>
  </si>
  <si>
    <t xml:space="preserve">TXN-00079</t>
  </si>
  <si>
    <t xml:space="preserve">NEFT advance received from Meridian Healthcare Pvt Ltd</t>
  </si>
  <si>
    <t xml:space="preserve">CUS-004</t>
  </si>
  <si>
    <t xml:space="preserve">Meridian Healthcare Pvt Ltd</t>
  </si>
  <si>
    <t xml:space="preserve">N655129634056</t>
  </si>
  <si>
    <t xml:space="preserve">TXN-00080</t>
  </si>
  <si>
    <t xml:space="preserve">Business Loan EMI - June 2025</t>
  </si>
  <si>
    <t xml:space="preserve">NACH245842219</t>
  </si>
  <si>
    <t xml:space="preserve">TXN-00081</t>
  </si>
  <si>
    <t xml:space="preserve">NEFT credit received from BrightPath Consulting</t>
  </si>
  <si>
    <t xml:space="preserve">Installment 1 of 2 against Invoice INV-2025-0013</t>
  </si>
  <si>
    <t xml:space="preserve">CUS-028</t>
  </si>
  <si>
    <t xml:space="preserve">BrightPath Consulting</t>
  </si>
  <si>
    <t xml:space="preserve">N441813153700</t>
  </si>
  <si>
    <t xml:space="preserve">Revenue - Annual Maintenance Contract (AMC)</t>
  </si>
  <si>
    <t xml:space="preserve">INV-2025-0013</t>
  </si>
  <si>
    <t xml:space="preserve">Part payment 1/2 for INV-2025-0013</t>
  </si>
  <si>
    <t xml:space="preserve">TXN-00082</t>
  </si>
  <si>
    <t xml:space="preserve">Internet Charges - June 2025</t>
  </si>
  <si>
    <t xml:space="preserve">NACH126361029</t>
  </si>
  <si>
    <t xml:space="preserve">TXN-00083</t>
  </si>
  <si>
    <t xml:space="preserve">Cloud Hosting Charges - June 2025</t>
  </si>
  <si>
    <t xml:space="preserve">CARD-XX5337</t>
  </si>
  <si>
    <t xml:space="preserve">TXN-00084</t>
  </si>
  <si>
    <t xml:space="preserve">UPI credit received from BrightPath Consulting</t>
  </si>
  <si>
    <t xml:space="preserve">Installment 2 of 2 against Invoice INV-2025-0013</t>
  </si>
  <si>
    <t xml:space="preserve">UPI501775172256</t>
  </si>
  <si>
    <t xml:space="preserve">Part payment 2/2 for INV-2025-0013</t>
  </si>
  <si>
    <t xml:space="preserve">TXN-00085</t>
  </si>
  <si>
    <t xml:space="preserve">BTR676736566</t>
  </si>
  <si>
    <t xml:space="preserve">TXN-00086</t>
  </si>
  <si>
    <t xml:space="preserve">EPF Contribution - June 2025</t>
  </si>
  <si>
    <t xml:space="preserve">N904563099342</t>
  </si>
  <si>
    <t xml:space="preserve">TXN-00087</t>
  </si>
  <si>
    <t xml:space="preserve">Electricity Bill - June 2025</t>
  </si>
  <si>
    <t xml:space="preserve">NACH567893723</t>
  </si>
  <si>
    <t xml:space="preserve">TXN-00088</t>
  </si>
  <si>
    <t xml:space="preserve">Advance income tax payment to Income Tax Department</t>
  </si>
  <si>
    <t xml:space="preserve">Advance Tax Payment - Q1 FY2025-26</t>
  </si>
  <si>
    <t xml:space="preserve">GOV-002</t>
  </si>
  <si>
    <t xml:space="preserve">Income Tax Department</t>
  </si>
  <si>
    <t xml:space="preserve">N528557572600</t>
  </si>
  <si>
    <t xml:space="preserve">Advance Income Tax</t>
  </si>
  <si>
    <t xml:space="preserve">TXN-00089</t>
  </si>
  <si>
    <t xml:space="preserve">NEFT credit received from Vantage Insurance Brokers</t>
  </si>
  <si>
    <t xml:space="preserve">Installment 1 of 2 against Invoice INV-2025-0016</t>
  </si>
  <si>
    <t xml:space="preserve">CUS-017</t>
  </si>
  <si>
    <t xml:space="preserve">Vantage Insurance Brokers</t>
  </si>
  <si>
    <t xml:space="preserve">N347585170155</t>
  </si>
  <si>
    <t xml:space="preserve">INV-2025-0016</t>
  </si>
  <si>
    <t xml:space="preserve">Part payment 1/2 for INV-2025-0016</t>
  </si>
  <si>
    <t xml:space="preserve">TXN-00090</t>
  </si>
  <si>
    <t xml:space="preserve">REF000491</t>
  </si>
  <si>
    <t xml:space="preserve">TXN-00091</t>
  </si>
  <si>
    <t xml:space="preserve">Bank Transfer credit received from Prime Realty Ventures</t>
  </si>
  <si>
    <t xml:space="preserve">Partial payment against Invoice INV-2025-0010</t>
  </si>
  <si>
    <t xml:space="preserve">CUS-009</t>
  </si>
  <si>
    <t xml:space="preserve">Prime Realty Ventures</t>
  </si>
  <si>
    <t xml:space="preserve">BTR665993941</t>
  </si>
  <si>
    <t xml:space="preserve">Revenue - Mobile App Development (iOS/Android)</t>
  </si>
  <si>
    <t xml:space="preserve">INV-2025-0010</t>
  </si>
  <si>
    <t xml:space="preserve">TXN-00092</t>
  </si>
  <si>
    <t xml:space="preserve">GST Payment (GSTR-3B) - June 2025</t>
  </si>
  <si>
    <t xml:space="preserve">N759941990442</t>
  </si>
  <si>
    <t xml:space="preserve">TXN-00093</t>
  </si>
  <si>
    <t xml:space="preserve">Office chair purchase</t>
  </si>
  <si>
    <t xml:space="preserve">CARD-XX4578</t>
  </si>
  <si>
    <t xml:space="preserve">TXN-00094</t>
  </si>
  <si>
    <t xml:space="preserve">Bank Transfer credit received from Emerald Jewellers Pvt Ltd</t>
  </si>
  <si>
    <t xml:space="preserve">Payment received against Invoice INV-2025-0015</t>
  </si>
  <si>
    <t xml:space="preserve">CUS-029</t>
  </si>
  <si>
    <t xml:space="preserve">Emerald Jewellers Pvt Ltd</t>
  </si>
  <si>
    <t xml:space="preserve">BTR149934624</t>
  </si>
  <si>
    <t xml:space="preserve">Revenue - QA &amp; Testing Services</t>
  </si>
  <si>
    <t xml:space="preserve">INV-2025-0015</t>
  </si>
  <si>
    <t xml:space="preserve">TXN-00095</t>
  </si>
  <si>
    <t xml:space="preserve">Cheque credit received from Vantage Insurance Brokers</t>
  </si>
  <si>
    <t xml:space="preserve">Installment 2 of 2 against Invoice INV-2025-0016</t>
  </si>
  <si>
    <t xml:space="preserve">CHQ307980</t>
  </si>
  <si>
    <t xml:space="preserve">Part payment 2/2 for INV-2025-0016</t>
  </si>
  <si>
    <t xml:space="preserve">TXN-00096</t>
  </si>
  <si>
    <t xml:space="preserve">Bank Charges &amp; Fees - June 2025</t>
  </si>
  <si>
    <t xml:space="preserve">BTR890406423</t>
  </si>
  <si>
    <t xml:space="preserve">TXN-00097</t>
  </si>
  <si>
    <t xml:space="preserve">RTGS payment made to CloudHost India Pvt Ltd</t>
  </si>
  <si>
    <t xml:space="preserve">Payment against Bill BILL-2025-0010</t>
  </si>
  <si>
    <t xml:space="preserve">VEN-001</t>
  </si>
  <si>
    <t xml:space="preserve">CloudHost India Pvt Ltd</t>
  </si>
  <si>
    <t xml:space="preserve">HDFCR51874206239</t>
  </si>
  <si>
    <t xml:space="preserve">Cloud Server Hosting Charges</t>
  </si>
  <si>
    <t xml:space="preserve">BILL-2025-0010</t>
  </si>
  <si>
    <t xml:space="preserve">TXN-00098</t>
  </si>
  <si>
    <t xml:space="preserve">NEFT payment made to Indian Oil Corporation Ltd</t>
  </si>
  <si>
    <t xml:space="preserve">Partial payment against Bill BILL-2025-0009</t>
  </si>
  <si>
    <t xml:space="preserve">N918517886635</t>
  </si>
  <si>
    <t xml:space="preserve">Corporate Fuel Card Charges</t>
  </si>
  <si>
    <t xml:space="preserve">BILL-2025-0009</t>
  </si>
  <si>
    <t xml:space="preserve">TXN-00099</t>
  </si>
  <si>
    <t xml:space="preserve">Hotel stay - onsite project visit</t>
  </si>
  <si>
    <t xml:space="preserve">Hotel stay - onsite project visit - employee travel</t>
  </si>
  <si>
    <t xml:space="preserve">CARD-XX3892</t>
  </si>
  <si>
    <t xml:space="preserve">TXN-00100</t>
  </si>
  <si>
    <t xml:space="preserve">Monthly Salary - June 2025</t>
  </si>
  <si>
    <t xml:space="preserve">BTR323488450</t>
  </si>
  <si>
    <t xml:space="preserve">TXN-00101</t>
  </si>
  <si>
    <t xml:space="preserve">BTR533259642</t>
  </si>
  <si>
    <t xml:space="preserve">TXN-00102</t>
  </si>
  <si>
    <t xml:space="preserve">BTR941396377</t>
  </si>
  <si>
    <t xml:space="preserve">TXN-00103</t>
  </si>
  <si>
    <t xml:space="preserve">BTR593359106</t>
  </si>
  <si>
    <t xml:space="preserve">TXN-00104</t>
  </si>
  <si>
    <t xml:space="preserve">BTR289727690</t>
  </si>
  <si>
    <t xml:space="preserve">TXN-00105</t>
  </si>
  <si>
    <t xml:space="preserve">BTR997400815</t>
  </si>
  <si>
    <t xml:space="preserve">TXN-00106</t>
  </si>
  <si>
    <t xml:space="preserve">BTR526337894</t>
  </si>
  <si>
    <t xml:space="preserve">TXN-00107</t>
  </si>
  <si>
    <t xml:space="preserve">BTR411360541</t>
  </si>
  <si>
    <t xml:space="preserve">TXN-00108</t>
  </si>
  <si>
    <t xml:space="preserve">BTR962932982</t>
  </si>
  <si>
    <t xml:space="preserve">TXN-00109</t>
  </si>
  <si>
    <t xml:space="preserve">BTR299502600</t>
  </si>
  <si>
    <t xml:space="preserve">TXN-00110</t>
  </si>
  <si>
    <t xml:space="preserve">BTR137017927</t>
  </si>
  <si>
    <t xml:space="preserve">TXN-00111</t>
  </si>
  <si>
    <t xml:space="preserve">BTR160814905</t>
  </si>
  <si>
    <t xml:space="preserve">TXN-00112</t>
  </si>
  <si>
    <t xml:space="preserve">Monthly Salary - July 2025</t>
  </si>
  <si>
    <t xml:space="preserve">BTR913277501</t>
  </si>
  <si>
    <t xml:space="preserve">TXN-00113</t>
  </si>
  <si>
    <t xml:space="preserve">BTR574420126</t>
  </si>
  <si>
    <t xml:space="preserve">TXN-00114</t>
  </si>
  <si>
    <t xml:space="preserve">BTR648019644</t>
  </si>
  <si>
    <t xml:space="preserve">TXN-00115</t>
  </si>
  <si>
    <t xml:space="preserve">BTR169870769</t>
  </si>
  <si>
    <t xml:space="preserve">TXN-00116</t>
  </si>
  <si>
    <t xml:space="preserve">BTR564749924</t>
  </si>
  <si>
    <t xml:space="preserve">TXN-00117</t>
  </si>
  <si>
    <t xml:space="preserve">BTR854471704</t>
  </si>
  <si>
    <t xml:space="preserve">TXN-00118</t>
  </si>
  <si>
    <t xml:space="preserve">BTR381045436</t>
  </si>
  <si>
    <t xml:space="preserve">TXN-00119</t>
  </si>
  <si>
    <t xml:space="preserve">BTR459284435</t>
  </si>
  <si>
    <t xml:space="preserve">TXN-00120</t>
  </si>
  <si>
    <t xml:space="preserve">BTR468673990</t>
  </si>
  <si>
    <t xml:space="preserve">TXN-00121</t>
  </si>
  <si>
    <t xml:space="preserve">BTR432093100</t>
  </si>
  <si>
    <t xml:space="preserve">TXN-00122</t>
  </si>
  <si>
    <t xml:space="preserve">BTR723522418</t>
  </si>
  <si>
    <t xml:space="preserve">TXN-00123</t>
  </si>
  <si>
    <t xml:space="preserve">BTR266987925</t>
  </si>
  <si>
    <t xml:space="preserve">TXN-00124</t>
  </si>
  <si>
    <t xml:space="preserve">Per diem travel allowance settlement</t>
  </si>
  <si>
    <t xml:space="preserve">Per diem travel allowance settlement - employee travel</t>
  </si>
  <si>
    <t xml:space="preserve">CARD-XX8739</t>
  </si>
  <si>
    <t xml:space="preserve">TXN-00125</t>
  </si>
  <si>
    <t xml:space="preserve">Office Rent - July 2025</t>
  </si>
  <si>
    <t xml:space="preserve">SI9726055</t>
  </si>
  <si>
    <t xml:space="preserve">TXN-00126</t>
  </si>
  <si>
    <t xml:space="preserve">NEFT payment made to Adobe Systems India Pvt Ltd</t>
  </si>
  <si>
    <t xml:space="preserve">Payment against Bill BILL-2025-0013</t>
  </si>
  <si>
    <t xml:space="preserve">N905087868136</t>
  </si>
  <si>
    <t xml:space="preserve">BILL-2025-0013</t>
  </si>
  <si>
    <t xml:space="preserve">TXN-00127</t>
  </si>
  <si>
    <t xml:space="preserve">Business Loan EMI - July 2025</t>
  </si>
  <si>
    <t xml:space="preserve">NACH632071630</t>
  </si>
  <si>
    <t xml:space="preserve">TXN-00128</t>
  </si>
  <si>
    <t xml:space="preserve">Promotional merchandise</t>
  </si>
  <si>
    <t xml:space="preserve">VEN-007</t>
  </si>
  <si>
    <t xml:space="preserve">Google India Pvt Ltd</t>
  </si>
  <si>
    <t xml:space="preserve">UPI831874876498</t>
  </si>
  <si>
    <t xml:space="preserve">TXN-00129</t>
  </si>
  <si>
    <t xml:space="preserve">REF000490</t>
  </si>
  <si>
    <t xml:space="preserve">TXN-00130</t>
  </si>
  <si>
    <t xml:space="preserve">NEFT credit received from Acme Technologies Pvt Ltd</t>
  </si>
  <si>
    <t xml:space="preserve">Payment received against Invoice INV-2025-0014</t>
  </si>
  <si>
    <t xml:space="preserve">CUS-001</t>
  </si>
  <si>
    <t xml:space="preserve">Acme Technologies Pvt Ltd</t>
  </si>
  <si>
    <t xml:space="preserve">N282461332873</t>
  </si>
  <si>
    <t xml:space="preserve">INV-2025-0014</t>
  </si>
  <si>
    <t xml:space="preserve">TXN-00131</t>
  </si>
  <si>
    <t xml:space="preserve">Internet Charges - July 2025</t>
  </si>
  <si>
    <t xml:space="preserve">NACH470954593</t>
  </si>
  <si>
    <t xml:space="preserve">TXN-00132</t>
  </si>
  <si>
    <t xml:space="preserve">NEFT payment made to ProAudit &amp; Co</t>
  </si>
  <si>
    <t xml:space="preserve">Installment 1 of 2 against Bill BILL-2025-0012</t>
  </si>
  <si>
    <t xml:space="preserve">N975520626358</t>
  </si>
  <si>
    <t xml:space="preserve">BILL-2025-0012</t>
  </si>
  <si>
    <t xml:space="preserve">Part payment 1/2 for BILL-2025-0012</t>
  </si>
  <si>
    <t xml:space="preserve">TXN-00133</t>
  </si>
  <si>
    <t xml:space="preserve">Cloud Hosting Charges - July 2025</t>
  </si>
  <si>
    <t xml:space="preserve">CARD-XX5004</t>
  </si>
  <si>
    <t xml:space="preserve">TXN-00134</t>
  </si>
  <si>
    <t xml:space="preserve">EPF Contribution - July 2025</t>
  </si>
  <si>
    <t xml:space="preserve">N876917687880</t>
  </si>
  <si>
    <t xml:space="preserve">TXN-00135</t>
  </si>
  <si>
    <t xml:space="preserve">Electricity Bill - July 2025</t>
  </si>
  <si>
    <t xml:space="preserve">NACH111565367</t>
  </si>
  <si>
    <t xml:space="preserve">TXN-00136</t>
  </si>
  <si>
    <t xml:space="preserve">UPI payment made to Bluedart Express Ltd</t>
  </si>
  <si>
    <t xml:space="preserve">Payment against Bill BILL-2025-0011</t>
  </si>
  <si>
    <t xml:space="preserve">VEN-013</t>
  </si>
  <si>
    <t xml:space="preserve">Bluedart Express Ltd</t>
  </si>
  <si>
    <t xml:space="preserve">UPI649104147465</t>
  </si>
  <si>
    <t xml:space="preserve">Document Shipping Services</t>
  </si>
  <si>
    <t xml:space="preserve">BILL-2025-0011</t>
  </si>
  <si>
    <t xml:space="preserve">TXN-00137</t>
  </si>
  <si>
    <t xml:space="preserve">GST Payment (GSTR-3B) - July 2025</t>
  </si>
  <si>
    <t xml:space="preserve">N830818057903</t>
  </si>
  <si>
    <t xml:space="preserve">TXN-00138</t>
  </si>
  <si>
    <t xml:space="preserve">Pantry supplies purchase</t>
  </si>
  <si>
    <t xml:space="preserve">REF000434</t>
  </si>
  <si>
    <t xml:space="preserve">TXN-00139</t>
  </si>
  <si>
    <t xml:space="preserve">Installment 2 of 2 against Bill BILL-2025-0012</t>
  </si>
  <si>
    <t xml:space="preserve">N746151693118</t>
  </si>
  <si>
    <t xml:space="preserve">Part payment 2/2 for BILL-2025-0012</t>
  </si>
  <si>
    <t xml:space="preserve">TXN-00140</t>
  </si>
  <si>
    <t xml:space="preserve">Bank Charges &amp; Fees - July 2025</t>
  </si>
  <si>
    <t xml:space="preserve">BTR377107148</t>
  </si>
  <si>
    <t xml:space="preserve">TXN-00141</t>
  </si>
  <si>
    <t xml:space="preserve">REF000492</t>
  </si>
  <si>
    <t xml:space="preserve">TXN-00142</t>
  </si>
  <si>
    <t xml:space="preserve">IMPS</t>
  </si>
  <si>
    <t xml:space="preserve">IMPS payment made to KPMG Advisory Services</t>
  </si>
  <si>
    <t xml:space="preserve">Payment against Bill BILL-2025-0014</t>
  </si>
  <si>
    <t xml:space="preserve">IMPS2010370662</t>
  </si>
  <si>
    <t xml:space="preserve">BILL-2025-0014</t>
  </si>
  <si>
    <t xml:space="preserve">TXN-00143</t>
  </si>
  <si>
    <t xml:space="preserve">IMPS credit received from Greenfield Agro Industries</t>
  </si>
  <si>
    <t xml:space="preserve">Installment 1 of 3 against Invoice INV-2025-0021</t>
  </si>
  <si>
    <t xml:space="preserve">CUS-011</t>
  </si>
  <si>
    <t xml:space="preserve">Greenfield Agro Industries</t>
  </si>
  <si>
    <t xml:space="preserve">IMPS6612641225</t>
  </si>
  <si>
    <t xml:space="preserve">INV-2025-0021</t>
  </si>
  <si>
    <t xml:space="preserve">Part payment 1/3 for INV-2025-0021</t>
  </si>
  <si>
    <t xml:space="preserve">TXN-00144</t>
  </si>
  <si>
    <t xml:space="preserve">Office Rent - August 2025</t>
  </si>
  <si>
    <t xml:space="preserve">SI9805982</t>
  </si>
  <si>
    <t xml:space="preserve">TXN-00145</t>
  </si>
  <si>
    <t xml:space="preserve">Business Loan EMI - August 2025</t>
  </si>
  <si>
    <t xml:space="preserve">NACH289254478</t>
  </si>
  <si>
    <t xml:space="preserve">TXN-00146</t>
  </si>
  <si>
    <t xml:space="preserve">Cab charges - airport transfer</t>
  </si>
  <si>
    <t xml:space="preserve">Cab charges - airport transfer - employee travel</t>
  </si>
  <si>
    <t xml:space="preserve">UPI450407606618</t>
  </si>
  <si>
    <t xml:space="preserve">TXN-00147</t>
  </si>
  <si>
    <t xml:space="preserve">Partial payment against Invoice INV-2025-0019</t>
  </si>
  <si>
    <t xml:space="preserve">BTR367993259</t>
  </si>
  <si>
    <t xml:space="preserve">Revenue - IT Consulting Services</t>
  </si>
  <si>
    <t xml:space="preserve">INV-2025-0019</t>
  </si>
  <si>
    <t xml:space="preserve">TXN-00148</t>
  </si>
  <si>
    <t xml:space="preserve">Internet Charges - August 2025</t>
  </si>
  <si>
    <t xml:space="preserve">NACH189338531</t>
  </si>
  <si>
    <t xml:space="preserve">TXN-00149</t>
  </si>
  <si>
    <t xml:space="preserve">Cloud Hosting Charges - August 2025</t>
  </si>
  <si>
    <t xml:space="preserve">CARD-XX6351</t>
  </si>
  <si>
    <t xml:space="preserve">TXN-00150</t>
  </si>
  <si>
    <t xml:space="preserve">REF000493</t>
  </si>
  <si>
    <t xml:space="preserve">TXN-00151</t>
  </si>
  <si>
    <t xml:space="preserve">EPF Contribution - August 2025</t>
  </si>
  <si>
    <t xml:space="preserve">N218944163638</t>
  </si>
  <si>
    <t xml:space="preserve">TXN-00152</t>
  </si>
  <si>
    <t xml:space="preserve">RTGS payment made to MakeMyTrip Business</t>
  </si>
  <si>
    <t xml:space="preserve">Partial payment against Bill BILL-2025-0015</t>
  </si>
  <si>
    <t xml:space="preserve">HDFCR50996565182</t>
  </si>
  <si>
    <t xml:space="preserve">Business Travel Booking</t>
  </si>
  <si>
    <t xml:space="preserve">BILL-2025-0015</t>
  </si>
  <si>
    <t xml:space="preserve">TXN-00153</t>
  </si>
  <si>
    <t xml:space="preserve">Electricity Bill - August 2025</t>
  </si>
  <si>
    <t xml:space="preserve">NACH922944363</t>
  </si>
  <si>
    <t xml:space="preserve">TXN-00154</t>
  </si>
  <si>
    <t xml:space="preserve">IMPS credit received from Lakeside Resorts Pvt Ltd</t>
  </si>
  <si>
    <t xml:space="preserve">Partial payment against Invoice INV-2025-0018</t>
  </si>
  <si>
    <t xml:space="preserve">IMPS6666518932</t>
  </si>
  <si>
    <t xml:space="preserve">INV-2025-0018</t>
  </si>
  <si>
    <t xml:space="preserve">TXN-00155</t>
  </si>
  <si>
    <t xml:space="preserve">Bank Charges &amp; Fees - August 2025</t>
  </si>
  <si>
    <t xml:space="preserve">BTR289748007</t>
  </si>
  <si>
    <t xml:space="preserve">TXN-00156</t>
  </si>
  <si>
    <t xml:space="preserve">Train booking - team travel</t>
  </si>
  <si>
    <t xml:space="preserve">Train booking - team travel - employee travel</t>
  </si>
  <si>
    <t xml:space="preserve">CARD-XX2694</t>
  </si>
  <si>
    <t xml:space="preserve">TXN-00157</t>
  </si>
  <si>
    <t xml:space="preserve">Bank Transfer credit received from Greenfield Agro Industries</t>
  </si>
  <si>
    <t xml:space="preserve">Installment 2 of 3 against Invoice INV-2025-0021</t>
  </si>
  <si>
    <t xml:space="preserve">BTR324068905</t>
  </si>
  <si>
    <t xml:space="preserve">Part payment 2/3 for INV-2025-0021</t>
  </si>
  <si>
    <t xml:space="preserve">TXN-00158</t>
  </si>
  <si>
    <t xml:space="preserve">GST Payment (GSTR-3B) - August 2025</t>
  </si>
  <si>
    <t xml:space="preserve">N946610919105</t>
  </si>
  <si>
    <t xml:space="preserve">TXN-00159</t>
  </si>
  <si>
    <t xml:space="preserve">UPI credit received from Cascade Beverages Pvt Ltd</t>
  </si>
  <si>
    <t xml:space="preserve">Installment 1 of 2 against Invoice INV-2025-0020</t>
  </si>
  <si>
    <t xml:space="preserve">CUS-030</t>
  </si>
  <si>
    <t xml:space="preserve">Cascade Beverages Pvt Ltd</t>
  </si>
  <si>
    <t xml:space="preserve">UPI972670695211</t>
  </si>
  <si>
    <t xml:space="preserve">INV-2025-0020</t>
  </si>
  <si>
    <t xml:space="preserve">Part payment 1/2 for INV-2025-0020</t>
  </si>
  <si>
    <t xml:space="preserve">TXN-00160</t>
  </si>
  <si>
    <t xml:space="preserve">UPI credit received from Nova Retail Solutions</t>
  </si>
  <si>
    <t xml:space="preserve">Payment received against Invoice INV-2025-0022</t>
  </si>
  <si>
    <t xml:space="preserve">CUS-002</t>
  </si>
  <si>
    <t xml:space="preserve">Nova Retail Solutions</t>
  </si>
  <si>
    <t xml:space="preserve">UPI747012132545</t>
  </si>
  <si>
    <t xml:space="preserve">INV-2025-0022</t>
  </si>
  <si>
    <t xml:space="preserve">TXN-00161</t>
  </si>
  <si>
    <t xml:space="preserve">CARD-XX9267</t>
  </si>
  <si>
    <t xml:space="preserve">TXN-00162</t>
  </si>
  <si>
    <t xml:space="preserve">Installment 2 of 2 against Invoice INV-2025-0020</t>
  </si>
  <si>
    <t xml:space="preserve">UPI806475201084</t>
  </si>
  <si>
    <t xml:space="preserve">Part payment 2/2 for INV-2025-0020</t>
  </si>
  <si>
    <t xml:space="preserve">TXN-00163</t>
  </si>
  <si>
    <t xml:space="preserve">Payment against Invoice INV-2025-0023 plus advance for future services</t>
  </si>
  <si>
    <t xml:space="preserve">N161096850956</t>
  </si>
  <si>
    <t xml:space="preserve">INV-2025-0023</t>
  </si>
  <si>
    <t xml:space="preserve">Includes INR 16,000 received as advance for future invoices, over and above this invoice's value.</t>
  </si>
  <si>
    <t xml:space="preserve">TXN-00164</t>
  </si>
  <si>
    <t xml:space="preserve">Trade show booth expense</t>
  </si>
  <si>
    <t xml:space="preserve">CARD-XX1291</t>
  </si>
  <si>
    <t xml:space="preserve">TXN-00165</t>
  </si>
  <si>
    <t xml:space="preserve">CARD-XX2269</t>
  </si>
  <si>
    <t xml:space="preserve">TXN-00166</t>
  </si>
  <si>
    <t xml:space="preserve">NEFT credit received from Greenfield Agro Industries</t>
  </si>
  <si>
    <t xml:space="preserve">Installment 3 of 3 against Invoice INV-2025-0021</t>
  </si>
  <si>
    <t xml:space="preserve">N354724417727</t>
  </si>
  <si>
    <t xml:space="preserve">Part payment 3/3 for INV-2025-0021</t>
  </si>
  <si>
    <t xml:space="preserve">TXN-00167</t>
  </si>
  <si>
    <t xml:space="preserve">Monthly Salary - August 2025</t>
  </si>
  <si>
    <t xml:space="preserve">BTR984246293</t>
  </si>
  <si>
    <t xml:space="preserve">TXN-00168</t>
  </si>
  <si>
    <t xml:space="preserve">BTR423162628</t>
  </si>
  <si>
    <t xml:space="preserve">TXN-00169</t>
  </si>
  <si>
    <t xml:space="preserve">BTR865068699</t>
  </si>
  <si>
    <t xml:space="preserve">TXN-00170</t>
  </si>
  <si>
    <t xml:space="preserve">BTR264949746</t>
  </si>
  <si>
    <t xml:space="preserve">TXN-00171</t>
  </si>
  <si>
    <t xml:space="preserve">BTR347657116</t>
  </si>
  <si>
    <t xml:space="preserve">TXN-00172</t>
  </si>
  <si>
    <t xml:space="preserve">BTR865378970</t>
  </si>
  <si>
    <t xml:space="preserve">TXN-00173</t>
  </si>
  <si>
    <t xml:space="preserve">BTR901352063</t>
  </si>
  <si>
    <t xml:space="preserve">TXN-00174</t>
  </si>
  <si>
    <t xml:space="preserve">BTR265552820</t>
  </si>
  <si>
    <t xml:space="preserve">TXN-00175</t>
  </si>
  <si>
    <t xml:space="preserve">BTR369141805</t>
  </si>
  <si>
    <t xml:space="preserve">TXN-00176</t>
  </si>
  <si>
    <t xml:space="preserve">BTR776649890</t>
  </si>
  <si>
    <t xml:space="preserve">TXN-00177</t>
  </si>
  <si>
    <t xml:space="preserve">BTR248791010</t>
  </si>
  <si>
    <t xml:space="preserve">TXN-00178</t>
  </si>
  <si>
    <t xml:space="preserve">BTR863747239</t>
  </si>
  <si>
    <t xml:space="preserve">TXN-00179</t>
  </si>
  <si>
    <t xml:space="preserve">NEFT credit received from Nova Retail Solutions</t>
  </si>
  <si>
    <t xml:space="preserve">Payment received against Invoice INV-2025-0024</t>
  </si>
  <si>
    <t xml:space="preserve">N463514795420</t>
  </si>
  <si>
    <t xml:space="preserve">INV-2025-0024</t>
  </si>
  <si>
    <t xml:space="preserve">TXN-00180</t>
  </si>
  <si>
    <t xml:space="preserve">Monthly Salary - September 2025</t>
  </si>
  <si>
    <t xml:space="preserve">BTR637910255</t>
  </si>
  <si>
    <t xml:space="preserve">TXN-00181</t>
  </si>
  <si>
    <t xml:space="preserve">BTR767727986</t>
  </si>
  <si>
    <t xml:space="preserve">TXN-00182</t>
  </si>
  <si>
    <t xml:space="preserve">BTR514030598</t>
  </si>
  <si>
    <t xml:space="preserve">TXN-00183</t>
  </si>
  <si>
    <t xml:space="preserve">BTR385960957</t>
  </si>
  <si>
    <t xml:space="preserve">TXN-00184</t>
  </si>
  <si>
    <t xml:space="preserve">BTR334494325</t>
  </si>
  <si>
    <t xml:space="preserve">TXN-00185</t>
  </si>
  <si>
    <t xml:space="preserve">BTR164656432</t>
  </si>
  <si>
    <t xml:space="preserve">TXN-00186</t>
  </si>
  <si>
    <t xml:space="preserve">BTR956472522</t>
  </si>
  <si>
    <t xml:space="preserve">TXN-00187</t>
  </si>
  <si>
    <t xml:space="preserve">BTR543687820</t>
  </si>
  <si>
    <t xml:space="preserve">TXN-00188</t>
  </si>
  <si>
    <t xml:space="preserve">BTR590030971</t>
  </si>
  <si>
    <t xml:space="preserve">TXN-00189</t>
  </si>
  <si>
    <t xml:space="preserve">BTR300878172</t>
  </si>
  <si>
    <t xml:space="preserve">TXN-00190</t>
  </si>
  <si>
    <t xml:space="preserve">BTR137048431</t>
  </si>
  <si>
    <t xml:space="preserve">TXN-00191</t>
  </si>
  <si>
    <t xml:space="preserve">BTR113854660</t>
  </si>
  <si>
    <t xml:space="preserve">TXN-00192</t>
  </si>
  <si>
    <t xml:space="preserve">Office Rent - September 2025</t>
  </si>
  <si>
    <t xml:space="preserve">SI1016716</t>
  </si>
  <si>
    <t xml:space="preserve">TXN-00193</t>
  </si>
  <si>
    <t xml:space="preserve">Business Loan EMI - September 2025</t>
  </si>
  <si>
    <t xml:space="preserve">NACH391005373</t>
  </si>
  <si>
    <t xml:space="preserve">TXN-00194</t>
  </si>
  <si>
    <t xml:space="preserve">Internet Charges - September 2025</t>
  </si>
  <si>
    <t xml:space="preserve">NACH220695483</t>
  </si>
  <si>
    <t xml:space="preserve">TXN-00195</t>
  </si>
  <si>
    <t xml:space="preserve">Cloud Hosting Charges - September 2025</t>
  </si>
  <si>
    <t xml:space="preserve">CARD-XX7316</t>
  </si>
  <si>
    <t xml:space="preserve">TXN-00196</t>
  </si>
  <si>
    <t xml:space="preserve">BTR951778794</t>
  </si>
  <si>
    <t xml:space="preserve">TXN-00197</t>
  </si>
  <si>
    <t xml:space="preserve">CARD-XX7495</t>
  </si>
  <si>
    <t xml:space="preserve">TXN-00198</t>
  </si>
  <si>
    <t xml:space="preserve">EPF Contribution - September 2025</t>
  </si>
  <si>
    <t xml:space="preserve">N145795302330</t>
  </si>
  <si>
    <t xml:space="preserve">TXN-00199</t>
  </si>
  <si>
    <t xml:space="preserve">CARD-XX4303</t>
  </si>
  <si>
    <t xml:space="preserve">TXN-00200</t>
  </si>
  <si>
    <t xml:space="preserve">Electricity Bill - September 2025</t>
  </si>
  <si>
    <t xml:space="preserve">NACH764459245</t>
  </si>
  <si>
    <t xml:space="preserve">TXN-00201</t>
  </si>
  <si>
    <t xml:space="preserve">Advance Tax Payment - Q2 FY2025-26</t>
  </si>
  <si>
    <t xml:space="preserve">N656503493076</t>
  </si>
  <si>
    <t xml:space="preserve">TXN-00202</t>
  </si>
  <si>
    <t xml:space="preserve">UPI credit received from Prime Realty Ventures</t>
  </si>
  <si>
    <t xml:space="preserve">Installment 1 of 3 against Invoice INV-2025-0031</t>
  </si>
  <si>
    <t xml:space="preserve">UPI409362958900</t>
  </si>
  <si>
    <t xml:space="preserve">INV-2025-0031</t>
  </si>
  <si>
    <t xml:space="preserve">Part payment 1/3 for INV-2025-0031</t>
  </si>
  <si>
    <t xml:space="preserve">TXN-00203</t>
  </si>
  <si>
    <t xml:space="preserve">Cheque payment made to Sharma Chartered Accountants</t>
  </si>
  <si>
    <t xml:space="preserve">Payment against Bill BILL-2025-0019</t>
  </si>
  <si>
    <t xml:space="preserve">SVC-002</t>
  </si>
  <si>
    <t xml:space="preserve">Sharma Chartered Accountants</t>
  </si>
  <si>
    <t xml:space="preserve">CHQ337670</t>
  </si>
  <si>
    <t xml:space="preserve">Monthly Bookkeeping Services</t>
  </si>
  <si>
    <t xml:space="preserve">BILL-2025-0019</t>
  </si>
  <si>
    <t xml:space="preserve">TXN-00204</t>
  </si>
  <si>
    <t xml:space="preserve">Bank Charges &amp; Fees - September 2025</t>
  </si>
  <si>
    <t xml:space="preserve">BTR295192175</t>
  </si>
  <si>
    <t xml:space="preserve">TXN-00205</t>
  </si>
  <si>
    <t xml:space="preserve">GST Payment (GSTR-3B) - September 2025</t>
  </si>
  <si>
    <t xml:space="preserve">N181639837461</t>
  </si>
  <si>
    <t xml:space="preserve">TXN-00206</t>
  </si>
  <si>
    <t xml:space="preserve">NEFT credit received from Golden Gate Exports Pvt Ltd</t>
  </si>
  <si>
    <t xml:space="preserve">Payment received against Invoice INV-2025-0029</t>
  </si>
  <si>
    <t xml:space="preserve">CUS-024</t>
  </si>
  <si>
    <t xml:space="preserve">Golden Gate Exports Pvt Ltd</t>
  </si>
  <si>
    <t xml:space="preserve">N537587150514</t>
  </si>
  <si>
    <t xml:space="preserve">Revenue - DevOps &amp; Infrastructure Setup</t>
  </si>
  <si>
    <t xml:space="preserve">INV-2025-0029</t>
  </si>
  <si>
    <t xml:space="preserve">TXN-00207</t>
  </si>
  <si>
    <t xml:space="preserve">Cheque credit received from Lakeside Resorts Pvt Ltd</t>
  </si>
  <si>
    <t xml:space="preserve">Payment received against Invoice INV-2025-0032</t>
  </si>
  <si>
    <t xml:space="preserve">CHQ405982</t>
  </si>
  <si>
    <t xml:space="preserve">INV-2025-0032</t>
  </si>
  <si>
    <t xml:space="preserve">TXN-00208</t>
  </si>
  <si>
    <t xml:space="preserve">Ad-hoc legal consultation fee</t>
  </si>
  <si>
    <t xml:space="preserve">Legal Consultation Fee</t>
  </si>
  <si>
    <t xml:space="preserve">SVC-001</t>
  </si>
  <si>
    <t xml:space="preserve">Rao &amp; Associates</t>
  </si>
  <si>
    <t xml:space="preserve">N816621959641</t>
  </si>
  <si>
    <t xml:space="preserve">Professional Fees</t>
  </si>
  <si>
    <t xml:space="preserve">Legal Fees</t>
  </si>
  <si>
    <t xml:space="preserve">TXN-00209</t>
  </si>
  <si>
    <t xml:space="preserve">NEFT credit received from Prime Realty Ventures</t>
  </si>
  <si>
    <t xml:space="preserve">Installment 2 of 3 against Invoice INV-2025-0031</t>
  </si>
  <si>
    <t xml:space="preserve">N395509559544</t>
  </si>
  <si>
    <t xml:space="preserve">Part payment 2/3 for INV-2025-0031</t>
  </si>
  <si>
    <t xml:space="preserve">TXN-00210</t>
  </si>
  <si>
    <t xml:space="preserve">N410365230338</t>
  </si>
  <si>
    <t xml:space="preserve">TXN-00211</t>
  </si>
  <si>
    <t xml:space="preserve">Content creation freelancer payment</t>
  </si>
  <si>
    <t xml:space="preserve">UPI234399183853</t>
  </si>
  <si>
    <t xml:space="preserve">TXN-00212</t>
  </si>
  <si>
    <t xml:space="preserve">Cheque payment made to Reliance Jio Business</t>
  </si>
  <si>
    <t xml:space="preserve">Payment against Bill BILL-2025-0017</t>
  </si>
  <si>
    <t xml:space="preserve">CHQ933273</t>
  </si>
  <si>
    <t xml:space="preserve">BILL-2025-0017</t>
  </si>
  <si>
    <t xml:space="preserve">TXN-00213</t>
  </si>
  <si>
    <t xml:space="preserve">Payment received against Invoice INV-2025-0025</t>
  </si>
  <si>
    <t xml:space="preserve">UPI259669066825</t>
  </si>
  <si>
    <t xml:space="preserve">INV-2025-0025</t>
  </si>
  <si>
    <t xml:space="preserve">TXN-00214</t>
  </si>
  <si>
    <t xml:space="preserve">IMPS credit received from BrightPath Consulting</t>
  </si>
  <si>
    <t xml:space="preserve">Partial payment against Invoice INV-2025-0027</t>
  </si>
  <si>
    <t xml:space="preserve">IMPS8495395043</t>
  </si>
  <si>
    <t xml:space="preserve">Revenue - API Integration Services</t>
  </si>
  <si>
    <t xml:space="preserve">INV-2025-0027</t>
  </si>
  <si>
    <t xml:space="preserve">TXN-00215</t>
  </si>
  <si>
    <t xml:space="preserve">Office Rent - October 2025</t>
  </si>
  <si>
    <t xml:space="preserve">SI8987701</t>
  </si>
  <si>
    <t xml:space="preserve">TXN-00216</t>
  </si>
  <si>
    <t xml:space="preserve">CARD-XX5300</t>
  </si>
  <si>
    <t xml:space="preserve">TXN-00217</t>
  </si>
  <si>
    <t xml:space="preserve">CARD-XX9897</t>
  </si>
  <si>
    <t xml:space="preserve">TXN-00218</t>
  </si>
  <si>
    <t xml:space="preserve">NEFT credit received from Orion Pharma Ltd</t>
  </si>
  <si>
    <t xml:space="preserve">Installment 1 of 3 against Invoice INV-2025-0039</t>
  </si>
  <si>
    <t xml:space="preserve">CUS-020</t>
  </si>
  <si>
    <t xml:space="preserve">Orion Pharma Ltd</t>
  </si>
  <si>
    <t xml:space="preserve">N838131452792</t>
  </si>
  <si>
    <t xml:space="preserve">INV-2025-0039</t>
  </si>
  <si>
    <t xml:space="preserve">Part payment 1/3 for INV-2025-0039</t>
  </si>
  <si>
    <t xml:space="preserve">TXN-00219</t>
  </si>
  <si>
    <t xml:space="preserve">Business Loan EMI - October 2025</t>
  </si>
  <si>
    <t xml:space="preserve">NACH484850939</t>
  </si>
  <si>
    <t xml:space="preserve">TXN-00220</t>
  </si>
  <si>
    <t xml:space="preserve">UPI595913835348</t>
  </si>
  <si>
    <t xml:space="preserve">TXN-00221</t>
  </si>
  <si>
    <t xml:space="preserve">IMPS credit received from Horizon Hospitality Group</t>
  </si>
  <si>
    <t xml:space="preserve">Payment received against Invoice INV-2025-0033</t>
  </si>
  <si>
    <t xml:space="preserve">CUS-014</t>
  </si>
  <si>
    <t xml:space="preserve">Horizon Hospitality Group</t>
  </si>
  <si>
    <t xml:space="preserve">IMPS2019719755</t>
  </si>
  <si>
    <t xml:space="preserve">INV-2025-0033</t>
  </si>
  <si>
    <t xml:space="preserve">TXN-00222</t>
  </si>
  <si>
    <t xml:space="preserve">Payment against Invoice INV-2025-0038 plus advance for future services</t>
  </si>
  <si>
    <t xml:space="preserve">N656921861522</t>
  </si>
  <si>
    <t xml:space="preserve">Revenue - Data Analytics Dashboard Development</t>
  </si>
  <si>
    <t xml:space="preserve">INV-2025-0038</t>
  </si>
  <si>
    <t xml:space="preserve">Includes INR 16,500 received as advance for future invoices, over and above this invoice's value.</t>
  </si>
  <si>
    <t xml:space="preserve">TXN-00223</t>
  </si>
  <si>
    <t xml:space="preserve">Internet Charges - October 2025</t>
  </si>
  <si>
    <t xml:space="preserve">NACH421904531</t>
  </si>
  <si>
    <t xml:space="preserve">TXN-00224</t>
  </si>
  <si>
    <t xml:space="preserve">NEFT credit received from Cascade Beverages Pvt Ltd</t>
  </si>
  <si>
    <t xml:space="preserve">Partial payment against Invoice INV-2025-0037</t>
  </si>
  <si>
    <t xml:space="preserve">N250193339559</t>
  </si>
  <si>
    <t xml:space="preserve">INV-2025-0037</t>
  </si>
  <si>
    <t xml:space="preserve">TXN-00225</t>
  </si>
  <si>
    <t xml:space="preserve">UPI credit received from Orion Pharma Ltd</t>
  </si>
  <si>
    <t xml:space="preserve">Installment 2 of 3 against Invoice INV-2025-0039</t>
  </si>
  <si>
    <t xml:space="preserve">UPI332775403376</t>
  </si>
  <si>
    <t xml:space="preserve">Part payment 2/3 for INV-2025-0039</t>
  </si>
  <si>
    <t xml:space="preserve">TXN-00226</t>
  </si>
  <si>
    <t xml:space="preserve">Cloud Hosting Charges - October 2025</t>
  </si>
  <si>
    <t xml:space="preserve">CARD-XX6895</t>
  </si>
  <si>
    <t xml:space="preserve">TXN-00227</t>
  </si>
  <si>
    <t xml:space="preserve">UPI886715338206</t>
  </si>
  <si>
    <t xml:space="preserve">TXN-00228</t>
  </si>
  <si>
    <t xml:space="preserve">CARD-XX7980</t>
  </si>
  <si>
    <t xml:space="preserve">TXN-00229</t>
  </si>
  <si>
    <t xml:space="preserve">NEFT payment made to Meta Platforms India Pvt Ltd</t>
  </si>
  <si>
    <t xml:space="preserve">Partial payment against Bill BILL-2025-0018</t>
  </si>
  <si>
    <t xml:space="preserve">VEN-008</t>
  </si>
  <si>
    <t xml:space="preserve">Meta Platforms India Pvt Ltd</t>
  </si>
  <si>
    <t xml:space="preserve">N805762983914</t>
  </si>
  <si>
    <t xml:space="preserve">Search &amp; Display Ad Spend</t>
  </si>
  <si>
    <t xml:space="preserve">BILL-2025-0018</t>
  </si>
  <si>
    <t xml:space="preserve">TXN-00230</t>
  </si>
  <si>
    <t xml:space="preserve">EPF Contribution - October 2025</t>
  </si>
  <si>
    <t xml:space="preserve">N125709710703</t>
  </si>
  <si>
    <t xml:space="preserve">TXN-00231</t>
  </si>
  <si>
    <t xml:space="preserve">RTGS credit received from Silverline Media Pvt Ltd</t>
  </si>
  <si>
    <t xml:space="preserve">Payment received against Invoice INV-2025-0030</t>
  </si>
  <si>
    <t xml:space="preserve">HDFCR28707937745</t>
  </si>
  <si>
    <t xml:space="preserve">INV-2025-0030</t>
  </si>
  <si>
    <t xml:space="preserve">TXN-00232</t>
  </si>
  <si>
    <t xml:space="preserve">Electricity Bill - October 2025</t>
  </si>
  <si>
    <t xml:space="preserve">NACH912923287</t>
  </si>
  <si>
    <t xml:space="preserve">TXN-00233</t>
  </si>
  <si>
    <t xml:space="preserve">RTGS credit received from Lakeside Resorts Pvt Ltd</t>
  </si>
  <si>
    <t xml:space="preserve">Partial payment against Invoice INV-2025-0036</t>
  </si>
  <si>
    <t xml:space="preserve">HDFCR61420003073</t>
  </si>
  <si>
    <t xml:space="preserve">INV-2025-0036</t>
  </si>
  <si>
    <t xml:space="preserve">TXN-00234</t>
  </si>
  <si>
    <t xml:space="preserve">RTGS credit received from Orion Pharma Ltd</t>
  </si>
  <si>
    <t xml:space="preserve">Installment 3 of 3 against Invoice INV-2025-0039</t>
  </si>
  <si>
    <t xml:space="preserve">HDFCR68621764414</t>
  </si>
  <si>
    <t xml:space="preserve">Part payment 3/3 for INV-2025-0039</t>
  </si>
  <si>
    <t xml:space="preserve">TXN-00235</t>
  </si>
  <si>
    <t xml:space="preserve">Partial payment against Invoice INV-2025-0043</t>
  </si>
  <si>
    <t xml:space="preserve">N510574241952</t>
  </si>
  <si>
    <t xml:space="preserve">INV-2025-0043</t>
  </si>
  <si>
    <t xml:space="preserve">TXN-00236</t>
  </si>
  <si>
    <t xml:space="preserve">GST Payment (GSTR-3B) - October 2025</t>
  </si>
  <si>
    <t xml:space="preserve">N911801775047</t>
  </si>
  <si>
    <t xml:space="preserve">TXN-00237</t>
  </si>
  <si>
    <t xml:space="preserve">UPI advance received from BrightPath Consulting</t>
  </si>
  <si>
    <t xml:space="preserve">UPI733161191360</t>
  </si>
  <si>
    <t xml:space="preserve">TXN-00238</t>
  </si>
  <si>
    <t xml:space="preserve">UPI credit received from Golden Gate Exports Pvt Ltd</t>
  </si>
  <si>
    <t xml:space="preserve">Payment received against Invoice INV-2025-0040</t>
  </si>
  <si>
    <t xml:space="preserve">UPI430800750029</t>
  </si>
  <si>
    <t xml:space="preserve">Revenue - Web Application Development</t>
  </si>
  <si>
    <t xml:space="preserve">INV-2025-0040</t>
  </si>
  <si>
    <t xml:space="preserve">TXN-00239</t>
  </si>
  <si>
    <t xml:space="preserve">UPI credit received from Falcon Aviation Services</t>
  </si>
  <si>
    <t xml:space="preserve">Partial payment against Invoice INV-2025-0044</t>
  </si>
  <si>
    <t xml:space="preserve">CUS-012</t>
  </si>
  <si>
    <t xml:space="preserve">Falcon Aviation Services</t>
  </si>
  <si>
    <t xml:space="preserve">UPI755288945639</t>
  </si>
  <si>
    <t xml:space="preserve">INV-2025-0044</t>
  </si>
  <si>
    <t xml:space="preserve">TXN-00240</t>
  </si>
  <si>
    <t xml:space="preserve">RTGS credit received from Prime Realty Ventures</t>
  </si>
  <si>
    <t xml:space="preserve">Installment 3 of 3 against Invoice INV-2025-0031</t>
  </si>
  <si>
    <t xml:space="preserve">HDFCR67779528710</t>
  </si>
  <si>
    <t xml:space="preserve">Part payment 3/3 for INV-2025-0031</t>
  </si>
  <si>
    <t xml:space="preserve">TXN-00241</t>
  </si>
  <si>
    <t xml:space="preserve">BTR111411835</t>
  </si>
  <si>
    <t xml:space="preserve">TXN-00242</t>
  </si>
  <si>
    <t xml:space="preserve">Payment against Bill BILL-2025-0023</t>
  </si>
  <si>
    <t xml:space="preserve">N487161218868</t>
  </si>
  <si>
    <t xml:space="preserve">Business Advisory Services</t>
  </si>
  <si>
    <t xml:space="preserve">BILL-2025-0023</t>
  </si>
  <si>
    <t xml:space="preserve">TXN-00243</t>
  </si>
  <si>
    <t xml:space="preserve">Bank Charges &amp; Fees - October 2025</t>
  </si>
  <si>
    <t xml:space="preserve">BTR229676840</t>
  </si>
  <si>
    <t xml:space="preserve">TXN-00244</t>
  </si>
  <si>
    <t xml:space="preserve">NEFT payment made to CloudHost India Pvt Ltd</t>
  </si>
  <si>
    <t xml:space="preserve">Payment against Bill BILL-2025-0021</t>
  </si>
  <si>
    <t xml:space="preserve">N189806747737</t>
  </si>
  <si>
    <t xml:space="preserve">BILL-2025-0021</t>
  </si>
  <si>
    <t xml:space="preserve">TXN-00245</t>
  </si>
  <si>
    <t xml:space="preserve">Printer cartridge purchase</t>
  </si>
  <si>
    <t xml:space="preserve">UPI327233685736</t>
  </si>
  <si>
    <t xml:space="preserve">TXN-00246</t>
  </si>
  <si>
    <t xml:space="preserve">N845466396389</t>
  </si>
  <si>
    <t xml:space="preserve">TXN-00247</t>
  </si>
  <si>
    <t xml:space="preserve">Monthly Salary - October 2025 (incl. festival bonus)</t>
  </si>
  <si>
    <t xml:space="preserve">BTR208815342</t>
  </si>
  <si>
    <t xml:space="preserve">TXN-00248</t>
  </si>
  <si>
    <t xml:space="preserve">BTR374052766</t>
  </si>
  <si>
    <t xml:space="preserve">TXN-00249</t>
  </si>
  <si>
    <t xml:space="preserve">BTR739861892</t>
  </si>
  <si>
    <t xml:space="preserve">TXN-00250</t>
  </si>
  <si>
    <t xml:space="preserve">BTR665757236</t>
  </si>
  <si>
    <t xml:space="preserve">TXN-00251</t>
  </si>
  <si>
    <t xml:space="preserve">BTR711596856</t>
  </si>
  <si>
    <t xml:space="preserve">TXN-00252</t>
  </si>
  <si>
    <t xml:space="preserve">BTR269643471</t>
  </si>
  <si>
    <t xml:space="preserve">TXN-00253</t>
  </si>
  <si>
    <t xml:space="preserve">BTR524038172</t>
  </si>
  <si>
    <t xml:space="preserve">TXN-00254</t>
  </si>
  <si>
    <t xml:space="preserve">BTR452407946</t>
  </si>
  <si>
    <t xml:space="preserve">TXN-00255</t>
  </si>
  <si>
    <t xml:space="preserve">BTR308562501</t>
  </si>
  <si>
    <t xml:space="preserve">TXN-00256</t>
  </si>
  <si>
    <t xml:space="preserve">BTR685354425</t>
  </si>
  <si>
    <t xml:space="preserve">TXN-00257</t>
  </si>
  <si>
    <t xml:space="preserve">BTR430640403</t>
  </si>
  <si>
    <t xml:space="preserve">TXN-00258</t>
  </si>
  <si>
    <t xml:space="preserve">BTR465782207</t>
  </si>
  <si>
    <t xml:space="preserve">TXN-00259</t>
  </si>
  <si>
    <t xml:space="preserve">NEFT advance received from Nova Retail Solutions</t>
  </si>
  <si>
    <t xml:space="preserve">N868210845102</t>
  </si>
  <si>
    <t xml:space="preserve">TXN-00260</t>
  </si>
  <si>
    <t xml:space="preserve">Partial payment against Invoice INV-2025-0045</t>
  </si>
  <si>
    <t xml:space="preserve">BTR795518143</t>
  </si>
  <si>
    <t xml:space="preserve">INV-2025-0045</t>
  </si>
  <si>
    <t xml:space="preserve">TXN-00261</t>
  </si>
  <si>
    <t xml:space="preserve">NEFT payment made to Microsoft India Pvt Ltd</t>
  </si>
  <si>
    <t xml:space="preserve">Payment against Bill BILL-2025-0025</t>
  </si>
  <si>
    <t xml:space="preserve">VEN-005</t>
  </si>
  <si>
    <t xml:space="preserve">Microsoft India Pvt Ltd</t>
  </si>
  <si>
    <t xml:space="preserve">N360541862392</t>
  </si>
  <si>
    <t xml:space="preserve">BILL-2025-0025</t>
  </si>
  <si>
    <t xml:space="preserve">TXN-00262</t>
  </si>
  <si>
    <t xml:space="preserve">CARD-XX9635</t>
  </si>
  <si>
    <t xml:space="preserve">TXN-00263</t>
  </si>
  <si>
    <t xml:space="preserve">CARD-XX2152</t>
  </si>
  <si>
    <t xml:space="preserve">TXN-00264</t>
  </si>
  <si>
    <t xml:space="preserve">Bank Transfer payment made to Bluedart Express Ltd</t>
  </si>
  <si>
    <t xml:space="preserve">Payment against Bill BILL-2025-0026</t>
  </si>
  <si>
    <t xml:space="preserve">BTR593266625</t>
  </si>
  <si>
    <t xml:space="preserve">Courier &amp; Logistics Charges</t>
  </si>
  <si>
    <t xml:space="preserve">BILL-2025-0026</t>
  </si>
  <si>
    <t xml:space="preserve">TXN-00265</t>
  </si>
  <si>
    <t xml:space="preserve">Office Rent - November 2025</t>
  </si>
  <si>
    <t xml:space="preserve">SI8088968</t>
  </si>
  <si>
    <t xml:space="preserve">TXN-00266</t>
  </si>
  <si>
    <t xml:space="preserve">Partial payment against Bill BILL-2025-0020</t>
  </si>
  <si>
    <t xml:space="preserve">N490504262658</t>
  </si>
  <si>
    <t xml:space="preserve">BILL-2025-0020</t>
  </si>
  <si>
    <t xml:space="preserve">TXN-00267</t>
  </si>
  <si>
    <t xml:space="preserve">Bank Transfer credit received from Lakeside Resorts Pvt Ltd</t>
  </si>
  <si>
    <t xml:space="preserve">Payment received against Invoice INV-2025-0034</t>
  </si>
  <si>
    <t xml:space="preserve">BTR648013812</t>
  </si>
  <si>
    <t xml:space="preserve">INV-2025-0034</t>
  </si>
  <si>
    <t xml:space="preserve">TXN-00268</t>
  </si>
  <si>
    <t xml:space="preserve">Business Loan EMI - November 2025</t>
  </si>
  <si>
    <t xml:space="preserve">NACH322757175</t>
  </si>
  <si>
    <t xml:space="preserve">TXN-00269</t>
  </si>
  <si>
    <t xml:space="preserve">UPI682316977244</t>
  </si>
  <si>
    <t xml:space="preserve">TXN-00270</t>
  </si>
  <si>
    <t xml:space="preserve">UPI credit received from Infinity Sports Apparel</t>
  </si>
  <si>
    <t xml:space="preserve">Installment 1 of 2 against Invoice INV-2025-0041</t>
  </si>
  <si>
    <t xml:space="preserve">CUS-023</t>
  </si>
  <si>
    <t xml:space="preserve">Infinity Sports Apparel</t>
  </si>
  <si>
    <t xml:space="preserve">UPI686384900725</t>
  </si>
  <si>
    <t xml:space="preserve">Revenue - ERP Customization Services</t>
  </si>
  <si>
    <t xml:space="preserve">INV-2025-0041</t>
  </si>
  <si>
    <t xml:space="preserve">Part payment 1/2 for INV-2025-0041</t>
  </si>
  <si>
    <t xml:space="preserve">TXN-00271</t>
  </si>
  <si>
    <t xml:space="preserve">Payment received against Invoice INV-2025-0048</t>
  </si>
  <si>
    <t xml:space="preserve">UPI742683865715</t>
  </si>
  <si>
    <t xml:space="preserve">INV-2025-0048</t>
  </si>
  <si>
    <t xml:space="preserve">TXN-00272</t>
  </si>
  <si>
    <t xml:space="preserve">Internet Charges - November 2025</t>
  </si>
  <si>
    <t xml:space="preserve">NACH717524093</t>
  </si>
  <si>
    <t xml:space="preserve">TXN-00273</t>
  </si>
  <si>
    <t xml:space="preserve">CARD-XX3122</t>
  </si>
  <si>
    <t xml:space="preserve">TXN-00274</t>
  </si>
  <si>
    <t xml:space="preserve">Bank Transfer advance received from Stellar Textiles Pvt Ltd</t>
  </si>
  <si>
    <t xml:space="preserve">BTR637171752</t>
  </si>
  <si>
    <t xml:space="preserve">TXN-00275</t>
  </si>
  <si>
    <t xml:space="preserve">Cloud Hosting Charges - November 2025</t>
  </si>
  <si>
    <t xml:space="preserve">CARD-XX7813</t>
  </si>
  <si>
    <t xml:space="preserve">TXN-00276</t>
  </si>
  <si>
    <t xml:space="preserve">NEFT payment made to TalentBridge HR Consulting</t>
  </si>
  <si>
    <t xml:space="preserve">Installment 1 of 2 against Bill BILL-2025-0027</t>
  </si>
  <si>
    <t xml:space="preserve">SVC-004</t>
  </si>
  <si>
    <t xml:space="preserve">TalentBridge HR Consulting</t>
  </si>
  <si>
    <t xml:space="preserve">N750365972552</t>
  </si>
  <si>
    <t xml:space="preserve">Recruitment &amp; Staffing Services</t>
  </si>
  <si>
    <t xml:space="preserve">BILL-2025-0027</t>
  </si>
  <si>
    <t xml:space="preserve">Part payment 1/2 for BILL-2025-0027</t>
  </si>
  <si>
    <t xml:space="preserve">TXN-00277</t>
  </si>
  <si>
    <t xml:space="preserve">CARD-XX8820</t>
  </si>
  <si>
    <t xml:space="preserve">TXN-00278</t>
  </si>
  <si>
    <t xml:space="preserve">UPI482799650011</t>
  </si>
  <si>
    <t xml:space="preserve">TXN-00279</t>
  </si>
  <si>
    <t xml:space="preserve">Monitor purchase for new hire</t>
  </si>
  <si>
    <t xml:space="preserve">CARD-XX9375</t>
  </si>
  <si>
    <t xml:space="preserve">TXN-00280</t>
  </si>
  <si>
    <t xml:space="preserve">EPF Contribution - November 2025</t>
  </si>
  <si>
    <t xml:space="preserve">N271887150818</t>
  </si>
  <si>
    <t xml:space="preserve">TXN-00281</t>
  </si>
  <si>
    <t xml:space="preserve">Electricity Bill - November 2025</t>
  </si>
  <si>
    <t xml:space="preserve">NACH673008874</t>
  </si>
  <si>
    <t xml:space="preserve">TXN-00282</t>
  </si>
  <si>
    <t xml:space="preserve">Installment 1 of 3 against Invoice INV-2025-0052</t>
  </si>
  <si>
    <t xml:space="preserve">UPI907836208994</t>
  </si>
  <si>
    <t xml:space="preserve">INV-2025-0052</t>
  </si>
  <si>
    <t xml:space="preserve">Part payment 1/3 for INV-2025-0052</t>
  </si>
  <si>
    <t xml:space="preserve">TXN-00283</t>
  </si>
  <si>
    <t xml:space="preserve">Bank Charges &amp; Fees - November 2025</t>
  </si>
  <si>
    <t xml:space="preserve">BTR893987451</t>
  </si>
  <si>
    <t xml:space="preserve">TXN-00284</t>
  </si>
  <si>
    <t xml:space="preserve">GST Payment (GSTR-3B) - November 2025</t>
  </si>
  <si>
    <t xml:space="preserve">N532386368081</t>
  </si>
  <si>
    <t xml:space="preserve">TXN-00285</t>
  </si>
  <si>
    <t xml:space="preserve">N774964848331</t>
  </si>
  <si>
    <t xml:space="preserve">TXN-00286</t>
  </si>
  <si>
    <t xml:space="preserve">BTR776694177</t>
  </si>
  <si>
    <t xml:space="preserve">TXN-00287</t>
  </si>
  <si>
    <t xml:space="preserve">REF000489</t>
  </si>
  <si>
    <t xml:space="preserve">TXN-00288</t>
  </si>
  <si>
    <t xml:space="preserve">RTGS payment made to TalentBridge HR Consulting</t>
  </si>
  <si>
    <t xml:space="preserve">Installment 2 of 2 against Bill BILL-2025-0027</t>
  </si>
  <si>
    <t xml:space="preserve">HDFCR69279159246</t>
  </si>
  <si>
    <t xml:space="preserve">Part payment 2/2 for BILL-2025-0027</t>
  </si>
  <si>
    <t xml:space="preserve">TXN-00289</t>
  </si>
  <si>
    <t xml:space="preserve">Payment against Bill BILL-2025-0029</t>
  </si>
  <si>
    <t xml:space="preserve">HDFCR19629223273</t>
  </si>
  <si>
    <t xml:space="preserve">Hotel Accommodation Charges</t>
  </si>
  <si>
    <t xml:space="preserve">BILL-2025-0029</t>
  </si>
  <si>
    <t xml:space="preserve">TXN-00290</t>
  </si>
  <si>
    <t xml:space="preserve">NEFT credit received from Infinity Sports Apparel</t>
  </si>
  <si>
    <t xml:space="preserve">Installment 2 of 2 against Invoice INV-2025-0041</t>
  </si>
  <si>
    <t xml:space="preserve">N340092441844</t>
  </si>
  <si>
    <t xml:space="preserve">Part payment 2/2 for INV-2025-0041</t>
  </si>
  <si>
    <t xml:space="preserve">TXN-00291</t>
  </si>
  <si>
    <t xml:space="preserve">UPI credit received from Emerald Jewellers Pvt Ltd</t>
  </si>
  <si>
    <t xml:space="preserve">Payment received against Invoice INV-2025-0047</t>
  </si>
  <si>
    <t xml:space="preserve">UPI899181316922</t>
  </si>
  <si>
    <t xml:space="preserve">INV-2025-0047</t>
  </si>
  <si>
    <t xml:space="preserve">TXN-00292</t>
  </si>
  <si>
    <t xml:space="preserve">Bank Transfer credit received from Cascade Beverages Pvt Ltd</t>
  </si>
  <si>
    <t xml:space="preserve">Consolidated payment against invoices INV-2025-0050, INV-2025-0051</t>
  </si>
  <si>
    <t xml:space="preserve">BTR525290676</t>
  </si>
  <si>
    <t xml:space="preserve">INV-2025-0050, INV-2025-0051</t>
  </si>
  <si>
    <t xml:space="preserve">Single payment settling 2 invoices together: INV-2025-0050, INV-2025-0051.</t>
  </si>
  <si>
    <t xml:space="preserve">TXN-00293</t>
  </si>
  <si>
    <t xml:space="preserve">Refund processed to BrightPath Consulting</t>
  </si>
  <si>
    <t xml:space="preserve">Partial refund against Invoice INV-2025-0048</t>
  </si>
  <si>
    <t xml:space="preserve">N604478693529</t>
  </si>
  <si>
    <t xml:space="preserve">Partial refund against INV-2025-0048 issued after full payment was received.</t>
  </si>
  <si>
    <t xml:space="preserve">TXN-00294</t>
  </si>
  <si>
    <t xml:space="preserve">Bank Transfer credit received from Coastal Logistics Pvt Ltd</t>
  </si>
  <si>
    <t xml:space="preserve">Payment received against Invoice INV-2025-0035</t>
  </si>
  <si>
    <t xml:space="preserve">CUS-007</t>
  </si>
  <si>
    <t xml:space="preserve">Coastal Logistics Pvt Ltd</t>
  </si>
  <si>
    <t xml:space="preserve">BTR728956652</t>
  </si>
  <si>
    <t xml:space="preserve">INV-2025-0035</t>
  </si>
  <si>
    <t xml:space="preserve">TXN-00295</t>
  </si>
  <si>
    <t xml:space="preserve">NEFT credit received from Trident Automobiles Pvt Ltd</t>
  </si>
  <si>
    <t xml:space="preserve">Payment against Invoice INV-2025-0049 plus advance for future services</t>
  </si>
  <si>
    <t xml:space="preserve">N377648361742</t>
  </si>
  <si>
    <t xml:space="preserve">INV-2025-0049</t>
  </si>
  <si>
    <t xml:space="preserve">Includes INR 12,000 received as advance for future invoices, over and above this invoice's value.</t>
  </si>
  <si>
    <t xml:space="preserve">TXN-00296</t>
  </si>
  <si>
    <t xml:space="preserve">Monthly Salary - November 2025</t>
  </si>
  <si>
    <t xml:space="preserve">BTR277710906</t>
  </si>
  <si>
    <t xml:space="preserve">TXN-00297</t>
  </si>
  <si>
    <t xml:space="preserve">BTR563611594</t>
  </si>
  <si>
    <t xml:space="preserve">TXN-00298</t>
  </si>
  <si>
    <t xml:space="preserve">BTR343055606</t>
  </si>
  <si>
    <t xml:space="preserve">TXN-00299</t>
  </si>
  <si>
    <t xml:space="preserve">BTR103627999</t>
  </si>
  <si>
    <t xml:space="preserve">TXN-00300</t>
  </si>
  <si>
    <t xml:space="preserve">BTR995178450</t>
  </si>
  <si>
    <t xml:space="preserve">TXN-00301</t>
  </si>
  <si>
    <t xml:space="preserve">BTR110186798</t>
  </si>
  <si>
    <t xml:space="preserve">TXN-00302</t>
  </si>
  <si>
    <t xml:space="preserve">BTR436492231</t>
  </si>
  <si>
    <t xml:space="preserve">TXN-00303</t>
  </si>
  <si>
    <t xml:space="preserve">BTR314134959</t>
  </si>
  <si>
    <t xml:space="preserve">TXN-00304</t>
  </si>
  <si>
    <t xml:space="preserve">BTR796622986</t>
  </si>
  <si>
    <t xml:space="preserve">TXN-00305</t>
  </si>
  <si>
    <t xml:space="preserve">BTR380793206</t>
  </si>
  <si>
    <t xml:space="preserve">TXN-00306</t>
  </si>
  <si>
    <t xml:space="preserve">BTR594973213</t>
  </si>
  <si>
    <t xml:space="preserve">TXN-00307</t>
  </si>
  <si>
    <t xml:space="preserve">BTR676348313</t>
  </si>
  <si>
    <t xml:space="preserve">TXN-00308</t>
  </si>
  <si>
    <t xml:space="preserve">NEFT payment made to Google India Pvt Ltd</t>
  </si>
  <si>
    <t xml:space="preserve">Partial payment against Bill BILL-2025-0022</t>
  </si>
  <si>
    <t xml:space="preserve">N524826023019</t>
  </si>
  <si>
    <t xml:space="preserve">BILL-2025-0022</t>
  </si>
  <si>
    <t xml:space="preserve">TXN-00309</t>
  </si>
  <si>
    <t xml:space="preserve">RTGS credit received from Crystal Clear Water Solutions</t>
  </si>
  <si>
    <t xml:space="preserve">Consolidated payment against invoices INV-2025-0053, INV-2025-0054, INV-2025-0055</t>
  </si>
  <si>
    <t xml:space="preserve">HDFCR21635916230</t>
  </si>
  <si>
    <t xml:space="preserve">INV-2025-0053, INV-2025-0054, INV-2025-0055</t>
  </si>
  <si>
    <t xml:space="preserve">Single payment settling 3 invoices together: INV-2025-0053, INV-2025-0054, INV-2025-0055.</t>
  </si>
  <si>
    <t xml:space="preserve">TXN-00310</t>
  </si>
  <si>
    <t xml:space="preserve">IMPS credit received from Acme Technologies Pvt Ltd</t>
  </si>
  <si>
    <t xml:space="preserve">Installment 1 of 2 against Invoice INV-2025-0056</t>
  </si>
  <si>
    <t xml:space="preserve">IMPS6100985567</t>
  </si>
  <si>
    <t xml:space="preserve">INV-2025-0056</t>
  </si>
  <si>
    <t xml:space="preserve">Part payment 1/2 for INV-2025-0056</t>
  </si>
  <si>
    <t xml:space="preserve">TXN-00311</t>
  </si>
  <si>
    <t xml:space="preserve">CARD-XX9965</t>
  </si>
  <si>
    <t xml:space="preserve">TXN-00312</t>
  </si>
  <si>
    <t xml:space="preserve">Office Rent - December 2025</t>
  </si>
  <si>
    <t xml:space="preserve">SI6674390</t>
  </si>
  <si>
    <t xml:space="preserve">TXN-00313</t>
  </si>
  <si>
    <t xml:space="preserve">BTR187134481</t>
  </si>
  <si>
    <t xml:space="preserve">TXN-00314</t>
  </si>
  <si>
    <t xml:space="preserve">BTR571256724</t>
  </si>
  <si>
    <t xml:space="preserve">TXN-00315</t>
  </si>
  <si>
    <t xml:space="preserve">Business Loan EMI - December 2025</t>
  </si>
  <si>
    <t xml:space="preserve">NACH769833615</t>
  </si>
  <si>
    <t xml:space="preserve">TXN-00316</t>
  </si>
  <si>
    <t xml:space="preserve">UPI348251386626</t>
  </si>
  <si>
    <t xml:space="preserve">TXN-00317</t>
  </si>
  <si>
    <t xml:space="preserve">REF000441</t>
  </si>
  <si>
    <t xml:space="preserve">TXN-00318</t>
  </si>
  <si>
    <t xml:space="preserve">Installment 2 of 3 against Invoice INV-2025-0052</t>
  </si>
  <si>
    <t xml:space="preserve">N310766922688</t>
  </si>
  <si>
    <t xml:space="preserve">Part payment 2/3 for INV-2025-0052</t>
  </si>
  <si>
    <t xml:space="preserve">TXN-00319</t>
  </si>
  <si>
    <t xml:space="preserve">Internet Charges - December 2025</t>
  </si>
  <si>
    <t xml:space="preserve">NACH175078403</t>
  </si>
  <si>
    <t xml:space="preserve">TXN-00320</t>
  </si>
  <si>
    <t xml:space="preserve">NEFT credit received from Emerald Jewellers Pvt Ltd</t>
  </si>
  <si>
    <t xml:space="preserve">Payment received against Invoice INV-2025-0046</t>
  </si>
  <si>
    <t xml:space="preserve">N437098292262</t>
  </si>
  <si>
    <t xml:space="preserve">INV-2025-0046</t>
  </si>
  <si>
    <t xml:space="preserve">TXN-00321</t>
  </si>
  <si>
    <t xml:space="preserve">Installment 1 of 2 against Bill BILL-2025-0030</t>
  </si>
  <si>
    <t xml:space="preserve">HDFCR40603780144</t>
  </si>
  <si>
    <t xml:space="preserve">BILL-2025-0030</t>
  </si>
  <si>
    <t xml:space="preserve">Part payment 1/2 for BILL-2025-0030</t>
  </si>
  <si>
    <t xml:space="preserve">TXN-00322</t>
  </si>
  <si>
    <t xml:space="preserve">NEFT credit received from Meridian Healthcare Pvt Ltd</t>
  </si>
  <si>
    <t xml:space="preserve">Partial payment against Invoice INV-2025-0058</t>
  </si>
  <si>
    <t xml:space="preserve">N699121422420</t>
  </si>
  <si>
    <t xml:space="preserve">INV-2025-0058</t>
  </si>
  <si>
    <t xml:space="preserve">TXN-00323</t>
  </si>
  <si>
    <t xml:space="preserve">Partial payment against Invoice INV-2025-0060</t>
  </si>
  <si>
    <t xml:space="preserve">N122865807537</t>
  </si>
  <si>
    <t xml:space="preserve">INV-2025-0060</t>
  </si>
  <si>
    <t xml:space="preserve">TXN-00324</t>
  </si>
  <si>
    <t xml:space="preserve">Cloud Hosting Charges - December 2025</t>
  </si>
  <si>
    <t xml:space="preserve">CARD-XX3071</t>
  </si>
  <si>
    <t xml:space="preserve">TXN-00325</t>
  </si>
  <si>
    <t xml:space="preserve">CARD-XX4720</t>
  </si>
  <si>
    <t xml:space="preserve">TXN-00326</t>
  </si>
  <si>
    <t xml:space="preserve">Bank Transfer payment made to Google India Pvt Ltd</t>
  </si>
  <si>
    <t xml:space="preserve">Installment 1 of 2 against Bill BILL-2025-0032</t>
  </si>
  <si>
    <t xml:space="preserve">BTR153409435</t>
  </si>
  <si>
    <t xml:space="preserve">BILL-2025-0032</t>
  </si>
  <si>
    <t xml:space="preserve">Part payment 1/2 for BILL-2025-0032</t>
  </si>
  <si>
    <t xml:space="preserve">TXN-00327</t>
  </si>
  <si>
    <t xml:space="preserve">EPF Contribution - December 2025</t>
  </si>
  <si>
    <t xml:space="preserve">N692759694771</t>
  </si>
  <si>
    <t xml:space="preserve">TXN-00328</t>
  </si>
  <si>
    <t xml:space="preserve">Cheque payment made to MakeMyTrip Business</t>
  </si>
  <si>
    <t xml:space="preserve">Installment 2 of 2 against Bill BILL-2025-0030</t>
  </si>
  <si>
    <t xml:space="preserve">CHQ425943</t>
  </si>
  <si>
    <t xml:space="preserve">Part payment 2/2 for BILL-2025-0030</t>
  </si>
  <si>
    <t xml:space="preserve">TXN-00329</t>
  </si>
  <si>
    <t xml:space="preserve">Electricity Bill - December 2025</t>
  </si>
  <si>
    <t xml:space="preserve">NACH470256316</t>
  </si>
  <si>
    <t xml:space="preserve">TXN-00330</t>
  </si>
  <si>
    <t xml:space="preserve">Advance Tax Payment - Q3 FY2025-26</t>
  </si>
  <si>
    <t xml:space="preserve">N652103879548</t>
  </si>
  <si>
    <t xml:space="preserve">TXN-00331</t>
  </si>
  <si>
    <t xml:space="preserve">UPI502327258476</t>
  </si>
  <si>
    <t xml:space="preserve">TXN-00332</t>
  </si>
  <si>
    <t xml:space="preserve">Cheque payment made to Rao &amp; Associates</t>
  </si>
  <si>
    <t xml:space="preserve">Payment against Bill BILL-2025-0033</t>
  </si>
  <si>
    <t xml:space="preserve">CHQ682240</t>
  </si>
  <si>
    <t xml:space="preserve">Contract Drafting &amp; Review</t>
  </si>
  <si>
    <t xml:space="preserve">BILL-2025-0033</t>
  </si>
  <si>
    <t xml:space="preserve">TXN-00333</t>
  </si>
  <si>
    <t xml:space="preserve">Installment 1 of 2 against Invoice INV-2025-0064</t>
  </si>
  <si>
    <t xml:space="preserve">UPI847132312827</t>
  </si>
  <si>
    <t xml:space="preserve">INV-2025-0064</t>
  </si>
  <si>
    <t xml:space="preserve">Part payment 1/2 for INV-2025-0064</t>
  </si>
  <si>
    <t xml:space="preserve">TXN-00334</t>
  </si>
  <si>
    <t xml:space="preserve">Bank Charges &amp; Fees - December 2025</t>
  </si>
  <si>
    <t xml:space="preserve">BTR851305827</t>
  </si>
  <si>
    <t xml:space="preserve">TXN-00335</t>
  </si>
  <si>
    <t xml:space="preserve">GST Payment (GSTR-3B) - December 2025</t>
  </si>
  <si>
    <t xml:space="preserve">N144938033178</t>
  </si>
  <si>
    <t xml:space="preserve">TXN-00336</t>
  </si>
  <si>
    <t xml:space="preserve">REF000440</t>
  </si>
  <si>
    <t xml:space="preserve">TXN-00337</t>
  </si>
  <si>
    <t xml:space="preserve">UPI payment made to Google India Pvt Ltd</t>
  </si>
  <si>
    <t xml:space="preserve">Installment 2 of 2 against Bill BILL-2025-0032</t>
  </si>
  <si>
    <t xml:space="preserve">UPI177153371638</t>
  </si>
  <si>
    <t xml:space="preserve">Part payment 2/2 for BILL-2025-0032</t>
  </si>
  <si>
    <t xml:space="preserve">TXN-00338</t>
  </si>
  <si>
    <t xml:space="preserve">Installment 3 of 3 against Invoice INV-2025-0052</t>
  </si>
  <si>
    <t xml:space="preserve">N486028742232</t>
  </si>
  <si>
    <t xml:space="preserve">Part payment 3/3 for INV-2025-0052</t>
  </si>
  <si>
    <t xml:space="preserve">TXN-00339</t>
  </si>
  <si>
    <t xml:space="preserve">CARD-XX5169</t>
  </si>
  <si>
    <t xml:space="preserve">TXN-00340</t>
  </si>
  <si>
    <t xml:space="preserve">NEFT payment made to SecureNet Cybersecurity Services</t>
  </si>
  <si>
    <t xml:space="preserve">Payment against Bill BILL-2025-0037</t>
  </si>
  <si>
    <t xml:space="preserve">SVC-006</t>
  </si>
  <si>
    <t xml:space="preserve">SecureNet Cybersecurity Services</t>
  </si>
  <si>
    <t xml:space="preserve">N894632306680</t>
  </si>
  <si>
    <t xml:space="preserve">Vulnerability Assessment</t>
  </si>
  <si>
    <t xml:space="preserve">BILL-2025-0037</t>
  </si>
  <si>
    <t xml:space="preserve">TXN-00341</t>
  </si>
  <si>
    <t xml:space="preserve">RTGS credit received from Coastal Logistics Pvt Ltd</t>
  </si>
  <si>
    <t xml:space="preserve">Partial payment against Invoice INV-2025-0059</t>
  </si>
  <si>
    <t xml:space="preserve">HDFCR54944116569</t>
  </si>
  <si>
    <t xml:space="preserve">INV-2025-0059</t>
  </si>
  <si>
    <t xml:space="preserve">TXN-00342</t>
  </si>
  <si>
    <t xml:space="preserve">Payment against Bill BILL-2025-0036</t>
  </si>
  <si>
    <t xml:space="preserve">BTR143435877</t>
  </si>
  <si>
    <t xml:space="preserve">BILL-2025-0036</t>
  </si>
  <si>
    <t xml:space="preserve">TXN-00343</t>
  </si>
  <si>
    <t xml:space="preserve">Monthly Salary - December 2025</t>
  </si>
  <si>
    <t xml:space="preserve">BTR416561608</t>
  </si>
  <si>
    <t xml:space="preserve">TXN-00344</t>
  </si>
  <si>
    <t xml:space="preserve">BTR116163731</t>
  </si>
  <si>
    <t xml:space="preserve">TXN-00345</t>
  </si>
  <si>
    <t xml:space="preserve">BTR152955726</t>
  </si>
  <si>
    <t xml:space="preserve">TXN-00346</t>
  </si>
  <si>
    <t xml:space="preserve">BTR356953858</t>
  </si>
  <si>
    <t xml:space="preserve">TXN-00347</t>
  </si>
  <si>
    <t xml:space="preserve">BTR454371354</t>
  </si>
  <si>
    <t xml:space="preserve">TXN-00348</t>
  </si>
  <si>
    <t xml:space="preserve">BTR203996493</t>
  </si>
  <si>
    <t xml:space="preserve">TXN-00349</t>
  </si>
  <si>
    <t xml:space="preserve">BTR797657407</t>
  </si>
  <si>
    <t xml:space="preserve">TXN-00350</t>
  </si>
  <si>
    <t xml:space="preserve">BTR494690960</t>
  </si>
  <si>
    <t xml:space="preserve">TXN-00351</t>
  </si>
  <si>
    <t xml:space="preserve">BTR642271105</t>
  </si>
  <si>
    <t xml:space="preserve">TXN-00352</t>
  </si>
  <si>
    <t xml:space="preserve">BTR540388765</t>
  </si>
  <si>
    <t xml:space="preserve">TXN-00353</t>
  </si>
  <si>
    <t xml:space="preserve">BTR663539139</t>
  </si>
  <si>
    <t xml:space="preserve">TXN-00354</t>
  </si>
  <si>
    <t xml:space="preserve">BTR586889796</t>
  </si>
  <si>
    <t xml:space="preserve">TXN-00355</t>
  </si>
  <si>
    <t xml:space="preserve">UPI credit received from Trident Automobiles Pvt Ltd</t>
  </si>
  <si>
    <t xml:space="preserve">Payment received against Invoice INV-2025-0057</t>
  </si>
  <si>
    <t xml:space="preserve">UPI221027970742</t>
  </si>
  <si>
    <t xml:space="preserve">INV-2025-0057</t>
  </si>
  <si>
    <t xml:space="preserve">TXN-00356</t>
  </si>
  <si>
    <t xml:space="preserve">Router purchase</t>
  </si>
  <si>
    <t xml:space="preserve">CARD-XX2800</t>
  </si>
  <si>
    <t xml:space="preserve">TXN-00357</t>
  </si>
  <si>
    <t xml:space="preserve">NEFT credit received from Horizon Hospitality Group</t>
  </si>
  <si>
    <t xml:space="preserve">Payment against Invoice INV-2025-0063 plus advance for future services</t>
  </si>
  <si>
    <t xml:space="preserve">N785533769707</t>
  </si>
  <si>
    <t xml:space="preserve">INV-2025-0063</t>
  </si>
  <si>
    <t xml:space="preserve">Includes INR 11,500 received as advance for future invoices, over and above this invoice's value.</t>
  </si>
  <si>
    <t xml:space="preserve">TXN-00358</t>
  </si>
  <si>
    <t xml:space="preserve">Office Rent - January 2026</t>
  </si>
  <si>
    <t xml:space="preserve">SI8601802</t>
  </si>
  <si>
    <t xml:space="preserve">TXN-00359</t>
  </si>
  <si>
    <t xml:space="preserve">Installment 1 of 2 against Invoice INV-2025-0070</t>
  </si>
  <si>
    <t xml:space="preserve">N548676189333</t>
  </si>
  <si>
    <t xml:space="preserve">INV-2025-0070</t>
  </si>
  <si>
    <t xml:space="preserve">Part payment 1/2 for INV-2025-0070</t>
  </si>
  <si>
    <t xml:space="preserve">TXN-00360</t>
  </si>
  <si>
    <t xml:space="preserve">IMPS credit received from Emerald Jewellers Pvt Ltd</t>
  </si>
  <si>
    <t xml:space="preserve">Installment 2 of 2 against Invoice INV-2025-0064</t>
  </si>
  <si>
    <t xml:space="preserve">IMPS5259763391</t>
  </si>
  <si>
    <t xml:space="preserve">Part payment 2/2 for INV-2025-0064</t>
  </si>
  <si>
    <t xml:space="preserve">TXN-00361</t>
  </si>
  <si>
    <t xml:space="preserve">Bank Transfer credit received from Silverline Media Pvt Ltd</t>
  </si>
  <si>
    <t xml:space="preserve">Partial payment against Invoice INV-2025-0076</t>
  </si>
  <si>
    <t xml:space="preserve">BTR843488235</t>
  </si>
  <si>
    <t xml:space="preserve">INV-2025-0076</t>
  </si>
  <si>
    <t xml:space="preserve">TXN-00362</t>
  </si>
  <si>
    <t xml:space="preserve">Business Loan EMI - January 2026</t>
  </si>
  <si>
    <t xml:space="preserve">NACH320984401</t>
  </si>
  <si>
    <t xml:space="preserve">TXN-00363</t>
  </si>
  <si>
    <t xml:space="preserve">N617590660079</t>
  </si>
  <si>
    <t xml:space="preserve">TXN-00364</t>
  </si>
  <si>
    <t xml:space="preserve">Bank Transfer advance received from Silverline Media Pvt Ltd</t>
  </si>
  <si>
    <t xml:space="preserve">BTR711131974</t>
  </si>
  <si>
    <t xml:space="preserve">TXN-00365</t>
  </si>
  <si>
    <t xml:space="preserve">Installment 2 of 2 against Invoice INV-2025-0056</t>
  </si>
  <si>
    <t xml:space="preserve">N371566409552</t>
  </si>
  <si>
    <t xml:space="preserve">Part payment 2/2 for INV-2025-0056</t>
  </si>
  <si>
    <t xml:space="preserve">TXN-00366</t>
  </si>
  <si>
    <t xml:space="preserve">Internet Charges - January 2026</t>
  </si>
  <si>
    <t xml:space="preserve">NACH621095057</t>
  </si>
  <si>
    <t xml:space="preserve">TXN-00367</t>
  </si>
  <si>
    <t xml:space="preserve">Office consumables purchase</t>
  </si>
  <si>
    <t xml:space="preserve">CARD-XX4362</t>
  </si>
  <si>
    <t xml:space="preserve">TXN-00368</t>
  </si>
  <si>
    <t xml:space="preserve">IMPS credit received from Infinity Sports Apparel</t>
  </si>
  <si>
    <t xml:space="preserve">Payment received against Invoice INV-2025-0065</t>
  </si>
  <si>
    <t xml:space="preserve">IMPS4462214421</t>
  </si>
  <si>
    <t xml:space="preserve">INV-2025-0065</t>
  </si>
  <si>
    <t xml:space="preserve">TXN-00369</t>
  </si>
  <si>
    <t xml:space="preserve">Cloud Hosting Charges - January 2026</t>
  </si>
  <si>
    <t xml:space="preserve">CARD-XX7490</t>
  </si>
  <si>
    <t xml:space="preserve">TXN-00370</t>
  </si>
  <si>
    <t xml:space="preserve">N156621014910</t>
  </si>
  <si>
    <t xml:space="preserve">TXN-00371</t>
  </si>
  <si>
    <t xml:space="preserve">Payment received against Invoice INV-2025-0062</t>
  </si>
  <si>
    <t xml:space="preserve">UPI527751541418</t>
  </si>
  <si>
    <t xml:space="preserve">INV-2025-0062</t>
  </si>
  <si>
    <t xml:space="preserve">TXN-00372</t>
  </si>
  <si>
    <t xml:space="preserve">UPI210298645142</t>
  </si>
  <si>
    <t xml:space="preserve">TXN-00373</t>
  </si>
  <si>
    <t xml:space="preserve">EPF Contribution - January 2026</t>
  </si>
  <si>
    <t xml:space="preserve">N291039791844</t>
  </si>
  <si>
    <t xml:space="preserve">TXN-00374</t>
  </si>
  <si>
    <t xml:space="preserve">UPS/Inverter purchase</t>
  </si>
  <si>
    <t xml:space="preserve">CARD-XX1231</t>
  </si>
  <si>
    <t xml:space="preserve">TXN-00375</t>
  </si>
  <si>
    <t xml:space="preserve">Electricity Bill - January 2026</t>
  </si>
  <si>
    <t xml:space="preserve">NACH101744357</t>
  </si>
  <si>
    <t xml:space="preserve">TXN-00376</t>
  </si>
  <si>
    <t xml:space="preserve">CARD-XX9703</t>
  </si>
  <si>
    <t xml:space="preserve">TXN-00377</t>
  </si>
  <si>
    <t xml:space="preserve">IMPS payment made to Staples Office Solutions</t>
  </si>
  <si>
    <t xml:space="preserve">Partial payment against Bill BILL-2025-0035</t>
  </si>
  <si>
    <t xml:space="preserve">IMPS3506134019</t>
  </si>
  <si>
    <t xml:space="preserve">BILL-2025-0035</t>
  </si>
  <si>
    <t xml:space="preserve">TXN-00378</t>
  </si>
  <si>
    <t xml:space="preserve">Cheque credit received from Nova Retail Solutions</t>
  </si>
  <si>
    <t xml:space="preserve">Installment 2 of 2 against Invoice INV-2025-0070</t>
  </si>
  <si>
    <t xml:space="preserve">CHQ934526</t>
  </si>
  <si>
    <t xml:space="preserve">Part payment 2/2 for INV-2025-0070</t>
  </si>
  <si>
    <t xml:space="preserve">TXN-00379</t>
  </si>
  <si>
    <t xml:space="preserve">Payment received against Invoice INV-2025-0068</t>
  </si>
  <si>
    <t xml:space="preserve">IMPS8841002974</t>
  </si>
  <si>
    <t xml:space="preserve">INV-2025-0068</t>
  </si>
  <si>
    <t xml:space="preserve">TXN-00380</t>
  </si>
  <si>
    <t xml:space="preserve">GST Payment (GSTR-3B) - January 2026</t>
  </si>
  <si>
    <t xml:space="preserve">N807280034935</t>
  </si>
  <si>
    <t xml:space="preserve">TXN-00381</t>
  </si>
  <si>
    <t xml:space="preserve">Bank Transfer credit received from Stellar Textiles Pvt Ltd</t>
  </si>
  <si>
    <t xml:space="preserve">Payment received against Invoice INV-2025-0071</t>
  </si>
  <si>
    <t xml:space="preserve">BTR409645095</t>
  </si>
  <si>
    <t xml:space="preserve">INV-2025-0071</t>
  </si>
  <si>
    <t xml:space="preserve">TXN-00382</t>
  </si>
  <si>
    <t xml:space="preserve">Bank Transfer credit received from Meridian Healthcare Pvt Ltd</t>
  </si>
  <si>
    <t xml:space="preserve">Payment received against Invoice INV-2025-0082</t>
  </si>
  <si>
    <t xml:space="preserve">BTR822537800</t>
  </si>
  <si>
    <t xml:space="preserve">INV-2025-0082</t>
  </si>
  <si>
    <t xml:space="preserve">TXN-00383</t>
  </si>
  <si>
    <t xml:space="preserve">Payment against Bill BILL-2025-0040</t>
  </si>
  <si>
    <t xml:space="preserve">N935311020593</t>
  </si>
  <si>
    <t xml:space="preserve">Internal Audit Services</t>
  </si>
  <si>
    <t xml:space="preserve">BILL-2025-0040</t>
  </si>
  <si>
    <t xml:space="preserve">TXN-00384</t>
  </si>
  <si>
    <t xml:space="preserve">Bank Charges &amp; Fees - January 2026</t>
  </si>
  <si>
    <t xml:space="preserve">BTR578548585</t>
  </si>
  <si>
    <t xml:space="preserve">TXN-00385</t>
  </si>
  <si>
    <t xml:space="preserve">Payment received against Invoice INV-2025-0067</t>
  </si>
  <si>
    <t xml:space="preserve">N559642732754</t>
  </si>
  <si>
    <t xml:space="preserve">INV-2025-0067</t>
  </si>
  <si>
    <t xml:space="preserve">TXN-00386</t>
  </si>
  <si>
    <t xml:space="preserve">REF000439</t>
  </si>
  <si>
    <t xml:space="preserve">TXN-00387</t>
  </si>
  <si>
    <t xml:space="preserve">UPI credit received from Horizon Hospitality Group</t>
  </si>
  <si>
    <t xml:space="preserve">Consolidated payment against invoices INV-2025-0077, INV-2025-0078</t>
  </si>
  <si>
    <t xml:space="preserve">UPI211756100303</t>
  </si>
  <si>
    <t xml:space="preserve">INV-2025-0077, INV-2025-0078</t>
  </si>
  <si>
    <t xml:space="preserve">Single payment settling 2 invoices together: INV-2025-0077, INV-2025-0078.</t>
  </si>
  <si>
    <t xml:space="preserve">TXN-00388</t>
  </si>
  <si>
    <t xml:space="preserve">Monthly Salary - January 2026</t>
  </si>
  <si>
    <t xml:space="preserve">BTR766403817</t>
  </si>
  <si>
    <t xml:space="preserve">TXN-00389</t>
  </si>
  <si>
    <t xml:space="preserve">BTR745045942</t>
  </si>
  <si>
    <t xml:space="preserve">TXN-00390</t>
  </si>
  <si>
    <t xml:space="preserve">BTR419869460</t>
  </si>
  <si>
    <t xml:space="preserve">TXN-00391</t>
  </si>
  <si>
    <t xml:space="preserve">BTR405189261</t>
  </si>
  <si>
    <t xml:space="preserve">TXN-00392</t>
  </si>
  <si>
    <t xml:space="preserve">BTR980226703</t>
  </si>
  <si>
    <t xml:space="preserve">TXN-00393</t>
  </si>
  <si>
    <t xml:space="preserve">BTR752393586</t>
  </si>
  <si>
    <t xml:space="preserve">TXN-00394</t>
  </si>
  <si>
    <t xml:space="preserve">BTR873805969</t>
  </si>
  <si>
    <t xml:space="preserve">TXN-00395</t>
  </si>
  <si>
    <t xml:space="preserve">BTR821595063</t>
  </si>
  <si>
    <t xml:space="preserve">TXN-00396</t>
  </si>
  <si>
    <t xml:space="preserve">BTR416488384</t>
  </si>
  <si>
    <t xml:space="preserve">TXN-00397</t>
  </si>
  <si>
    <t xml:space="preserve">BTR260427479</t>
  </si>
  <si>
    <t xml:space="preserve">TXN-00398</t>
  </si>
  <si>
    <t xml:space="preserve">BTR812860930</t>
  </si>
  <si>
    <t xml:space="preserve">TXN-00399</t>
  </si>
  <si>
    <t xml:space="preserve">BTR750423442</t>
  </si>
  <si>
    <t xml:space="preserve">TXN-00400</t>
  </si>
  <si>
    <t xml:space="preserve">Payment received against Invoice INV-2025-0090</t>
  </si>
  <si>
    <t xml:space="preserve">UPI689131427527</t>
  </si>
  <si>
    <t xml:space="preserve">INV-2025-0090</t>
  </si>
  <si>
    <t xml:space="preserve">TXN-00401</t>
  </si>
  <si>
    <t xml:space="preserve">Payment against Bill BILL-2025-0038</t>
  </si>
  <si>
    <t xml:space="preserve">HDFCR18174090644</t>
  </si>
  <si>
    <t xml:space="preserve">Stationery &amp; Office Supplies</t>
  </si>
  <si>
    <t xml:space="preserve">BILL-2025-0038</t>
  </si>
  <si>
    <t xml:space="preserve">TXN-00402</t>
  </si>
  <si>
    <t xml:space="preserve">Payment against Bill BILL-2025-0042</t>
  </si>
  <si>
    <t xml:space="preserve">N968494382271</t>
  </si>
  <si>
    <t xml:space="preserve">Digital Advertising Campaign</t>
  </si>
  <si>
    <t xml:space="preserve">BILL-2025-0042</t>
  </si>
  <si>
    <t xml:space="preserve">TXN-00403</t>
  </si>
  <si>
    <t xml:space="preserve">Payment received against Invoice INV-2025-0081</t>
  </si>
  <si>
    <t xml:space="preserve">N888572486285</t>
  </si>
  <si>
    <t xml:space="preserve">INV-2025-0081</t>
  </si>
  <si>
    <t xml:space="preserve">TXN-00404</t>
  </si>
  <si>
    <t xml:space="preserve">Payment received against Invoice INV-2025-0087</t>
  </si>
  <si>
    <t xml:space="preserve">N895353313594</t>
  </si>
  <si>
    <t xml:space="preserve">INV-2025-0087</t>
  </si>
  <si>
    <t xml:space="preserve">TXN-00405</t>
  </si>
  <si>
    <t xml:space="preserve">Office Rent - February 2026</t>
  </si>
  <si>
    <t xml:space="preserve">SI8842023</t>
  </si>
  <si>
    <t xml:space="preserve">TXN-00406</t>
  </si>
  <si>
    <t xml:space="preserve">Business Loan EMI - February 2026</t>
  </si>
  <si>
    <t xml:space="preserve">NACH804888598</t>
  </si>
  <si>
    <t xml:space="preserve">TXN-00407</t>
  </si>
  <si>
    <t xml:space="preserve">Internet Charges - February 2026</t>
  </si>
  <si>
    <t xml:space="preserve">NACH215023282</t>
  </si>
  <si>
    <t xml:space="preserve">TXN-00408</t>
  </si>
  <si>
    <t xml:space="preserve">CARD-XX3383</t>
  </si>
  <si>
    <t xml:space="preserve">TXN-00409</t>
  </si>
  <si>
    <t xml:space="preserve">RTGS credit received from Greenfield Agro Industries</t>
  </si>
  <si>
    <t xml:space="preserve">Payment received against Invoice INV-2025-0079</t>
  </si>
  <si>
    <t xml:space="preserve">HDFCR10071883627</t>
  </si>
  <si>
    <t xml:space="preserve">INV-2025-0079</t>
  </si>
  <si>
    <t xml:space="preserve">TXN-00410</t>
  </si>
  <si>
    <t xml:space="preserve">Installment 1 of 2 against Invoice INV-2025-0085</t>
  </si>
  <si>
    <t xml:space="preserve">IMPS4736772479</t>
  </si>
  <si>
    <t xml:space="preserve">INV-2025-0085</t>
  </si>
  <si>
    <t xml:space="preserve">Part payment 1/2 for INV-2025-0085</t>
  </si>
  <si>
    <t xml:space="preserve">TXN-00411</t>
  </si>
  <si>
    <t xml:space="preserve">NEFT payment made to BrandCraft Marketing Agency</t>
  </si>
  <si>
    <t xml:space="preserve">Payment against Bill BILL-2025-0046</t>
  </si>
  <si>
    <t xml:space="preserve">N813606198272</t>
  </si>
  <si>
    <t xml:space="preserve">Branding &amp; Marketing Campaign</t>
  </si>
  <si>
    <t xml:space="preserve">BILL-2025-0046</t>
  </si>
  <si>
    <t xml:space="preserve">TXN-00412</t>
  </si>
  <si>
    <t xml:space="preserve">NEFT credit received from Falcon Aviation Services</t>
  </si>
  <si>
    <t xml:space="preserve">Payment received against Invoice INV-2025-0089</t>
  </si>
  <si>
    <t xml:space="preserve">N935444063125</t>
  </si>
  <si>
    <t xml:space="preserve">INV-2025-0089</t>
  </si>
  <si>
    <t xml:space="preserve">TXN-00413</t>
  </si>
  <si>
    <t xml:space="preserve">Installment 1 of 2 against Invoice INV-2025-0093</t>
  </si>
  <si>
    <t xml:space="preserve">N648601000916</t>
  </si>
  <si>
    <t xml:space="preserve">INV-2025-0093</t>
  </si>
  <si>
    <t xml:space="preserve">Part payment 1/2 for INV-2025-0093</t>
  </si>
  <si>
    <t xml:space="preserve">TXN-00414</t>
  </si>
  <si>
    <t xml:space="preserve">UPI credit received from Metro Grocery Chain Pvt Ltd</t>
  </si>
  <si>
    <t xml:space="preserve">Payment received against Invoice INV-2025-0096</t>
  </si>
  <si>
    <t xml:space="preserve">UPI439071912099</t>
  </si>
  <si>
    <t xml:space="preserve">INV-2025-0096</t>
  </si>
  <si>
    <t xml:space="preserve">TXN-00415</t>
  </si>
  <si>
    <t xml:space="preserve">Cloud Hosting Charges - February 2026</t>
  </si>
  <si>
    <t xml:space="preserve">CARD-XX8450</t>
  </si>
  <si>
    <t xml:space="preserve">TXN-00416</t>
  </si>
  <si>
    <t xml:space="preserve">Payment received against Invoice INV-2025-0091</t>
  </si>
  <si>
    <t xml:space="preserve">UPI600328234586</t>
  </si>
  <si>
    <t xml:space="preserve">INV-2025-0091</t>
  </si>
  <si>
    <t xml:space="preserve">TXN-00417</t>
  </si>
  <si>
    <t xml:space="preserve">Consolidated payment against invoices INV-2025-0083, INV-2025-0084, INV-2025-0086</t>
  </si>
  <si>
    <t xml:space="preserve">UPI932444416276</t>
  </si>
  <si>
    <t xml:space="preserve">INV-2025-0083, INV-2025-0084, INV-2025-0086</t>
  </si>
  <si>
    <t xml:space="preserve">Single payment settling 3 invoices together: INV-2025-0083, INV-2025-0084, INV-2025-0086.</t>
  </si>
  <si>
    <t xml:space="preserve">TXN-00418</t>
  </si>
  <si>
    <t xml:space="preserve">N749468029772</t>
  </si>
  <si>
    <t xml:space="preserve">TXN-00419</t>
  </si>
  <si>
    <t xml:space="preserve">RTGS credit received from Trident Automobiles Pvt Ltd</t>
  </si>
  <si>
    <t xml:space="preserve">Payment received against Invoice INV-2025-0094</t>
  </si>
  <si>
    <t xml:space="preserve">HDFCR96972209715</t>
  </si>
  <si>
    <t xml:space="preserve">INV-2025-0094</t>
  </si>
  <si>
    <t xml:space="preserve">TXN-00420</t>
  </si>
  <si>
    <t xml:space="preserve">EPF Contribution - February 2026</t>
  </si>
  <si>
    <t xml:space="preserve">N846394003925</t>
  </si>
  <si>
    <t xml:space="preserve">TXN-00421</t>
  </si>
  <si>
    <t xml:space="preserve">Installment 1 of 2 against Invoice INV-2025-0092</t>
  </si>
  <si>
    <t xml:space="preserve">N328899185026</t>
  </si>
  <si>
    <t xml:space="preserve">INV-2025-0092</t>
  </si>
  <si>
    <t xml:space="preserve">Part payment 1/2 for INV-2025-0092</t>
  </si>
  <si>
    <t xml:space="preserve">TXN-00422</t>
  </si>
  <si>
    <t xml:space="preserve">Electricity Bill - February 2026</t>
  </si>
  <si>
    <t xml:space="preserve">NACH663429366</t>
  </si>
  <si>
    <t xml:space="preserve">TXN-00423</t>
  </si>
  <si>
    <t xml:space="preserve">N466958793932</t>
  </si>
  <si>
    <t xml:space="preserve">TXN-00424</t>
  </si>
  <si>
    <t xml:space="preserve">Cheque credit received from Emerald Jewellers Pvt Ltd</t>
  </si>
  <si>
    <t xml:space="preserve">Payment received against Invoice INV-2025-0075</t>
  </si>
  <si>
    <t xml:space="preserve">CHQ206843</t>
  </si>
  <si>
    <t xml:space="preserve">INV-2025-0075</t>
  </si>
  <si>
    <t xml:space="preserve">TXN-00425</t>
  </si>
  <si>
    <t xml:space="preserve">GST Payment (GSTR-3B) - February 2026</t>
  </si>
  <si>
    <t xml:space="preserve">N341315500528</t>
  </si>
  <si>
    <t xml:space="preserve">TXN-00426</t>
  </si>
  <si>
    <t xml:space="preserve">Bank Charges &amp; Fees - February 2026</t>
  </si>
  <si>
    <t xml:space="preserve">BTR693650580</t>
  </si>
  <si>
    <t xml:space="preserve">TXN-00427</t>
  </si>
  <si>
    <t xml:space="preserve">Installment 2 of 2 against Invoice INV-2025-0085</t>
  </si>
  <si>
    <t xml:space="preserve">N185158615263</t>
  </si>
  <si>
    <t xml:space="preserve">Part payment 2/2 for INV-2025-0085</t>
  </si>
  <si>
    <t xml:space="preserve">TXN-00428</t>
  </si>
  <si>
    <t xml:space="preserve">Cheque credit received from Skyline E-Commerce Pvt Ltd</t>
  </si>
  <si>
    <t xml:space="preserve">Installment 2 of 2 against Invoice INV-2025-0092</t>
  </si>
  <si>
    <t xml:space="preserve">CHQ890382</t>
  </si>
  <si>
    <t xml:space="preserve">Part payment 2/2 for INV-2025-0092</t>
  </si>
  <si>
    <t xml:space="preserve">TXN-00429</t>
  </si>
  <si>
    <t xml:space="preserve">Installment 1 of 3 against Invoice INV-2025-0099</t>
  </si>
  <si>
    <t xml:space="preserve">N624460248260</t>
  </si>
  <si>
    <t xml:space="preserve">INV-2025-0099</t>
  </si>
  <si>
    <t xml:space="preserve">Part payment 1/3 for INV-2025-0099</t>
  </si>
  <si>
    <t xml:space="preserve">TXN-00430</t>
  </si>
  <si>
    <t xml:space="preserve">Monthly Salary - February 2026</t>
  </si>
  <si>
    <t xml:space="preserve">BTR169123836</t>
  </si>
  <si>
    <t xml:space="preserve">TXN-00431</t>
  </si>
  <si>
    <t xml:space="preserve">BTR919348030</t>
  </si>
  <si>
    <t xml:space="preserve">TXN-00432</t>
  </si>
  <si>
    <t xml:space="preserve">BTR514853005</t>
  </si>
  <si>
    <t xml:space="preserve">TXN-00433</t>
  </si>
  <si>
    <t xml:space="preserve">BTR493542730</t>
  </si>
  <si>
    <t xml:space="preserve">TXN-00434</t>
  </si>
  <si>
    <t xml:space="preserve">BTR223826143</t>
  </si>
  <si>
    <t xml:space="preserve">TXN-00435</t>
  </si>
  <si>
    <t xml:space="preserve">BTR395992056</t>
  </si>
  <si>
    <t xml:space="preserve">TXN-00436</t>
  </si>
  <si>
    <t xml:space="preserve">BTR280732224</t>
  </si>
  <si>
    <t xml:space="preserve">TXN-00437</t>
  </si>
  <si>
    <t xml:space="preserve">BTR805430614</t>
  </si>
  <si>
    <t xml:space="preserve">TXN-00438</t>
  </si>
  <si>
    <t xml:space="preserve">BTR167113279</t>
  </si>
  <si>
    <t xml:space="preserve">TXN-00439</t>
  </si>
  <si>
    <t xml:space="preserve">BTR499758095</t>
  </si>
  <si>
    <t xml:space="preserve">TXN-00440</t>
  </si>
  <si>
    <t xml:space="preserve">BTR134576625</t>
  </si>
  <si>
    <t xml:space="preserve">TXN-00441</t>
  </si>
  <si>
    <t xml:space="preserve">BTR910114394</t>
  </si>
  <si>
    <t xml:space="preserve">TXN-00442</t>
  </si>
  <si>
    <t xml:space="preserve">N833388495676</t>
  </si>
  <si>
    <t xml:space="preserve">TXN-00443</t>
  </si>
  <si>
    <t xml:space="preserve">Monthly Salary - March 2026</t>
  </si>
  <si>
    <t xml:space="preserve">BTR814090201</t>
  </si>
  <si>
    <t xml:space="preserve">TXN-00444</t>
  </si>
  <si>
    <t xml:space="preserve">BTR867363504</t>
  </si>
  <si>
    <t xml:space="preserve">TXN-00445</t>
  </si>
  <si>
    <t xml:space="preserve">BTR596969787</t>
  </si>
  <si>
    <t xml:space="preserve">TXN-00446</t>
  </si>
  <si>
    <t xml:space="preserve">BTR660384282</t>
  </si>
  <si>
    <t xml:space="preserve">TXN-00447</t>
  </si>
  <si>
    <t xml:space="preserve">BTR830485103</t>
  </si>
  <si>
    <t xml:space="preserve">TXN-00448</t>
  </si>
  <si>
    <t xml:space="preserve">BTR540850478</t>
  </si>
  <si>
    <t xml:space="preserve">TXN-00449</t>
  </si>
  <si>
    <t xml:space="preserve">BTR603888895</t>
  </si>
  <si>
    <t xml:space="preserve">TXN-00450</t>
  </si>
  <si>
    <t xml:space="preserve">BTR317852423</t>
  </si>
  <si>
    <t xml:space="preserve">TXN-00451</t>
  </si>
  <si>
    <t xml:space="preserve">BTR647267579</t>
  </si>
  <si>
    <t xml:space="preserve">TXN-00452</t>
  </si>
  <si>
    <t xml:space="preserve">BTR887734151</t>
  </si>
  <si>
    <t xml:space="preserve">TXN-00453</t>
  </si>
  <si>
    <t xml:space="preserve">BTR588420238</t>
  </si>
  <si>
    <t xml:space="preserve">TXN-00454</t>
  </si>
  <si>
    <t xml:space="preserve">BTR923189203</t>
  </si>
  <si>
    <t xml:space="preserve">TXN-00455</t>
  </si>
  <si>
    <t xml:space="preserve">Refund processed to Metro Grocery Chain Pvt Ltd</t>
  </si>
  <si>
    <t xml:space="preserve">Partial refund against Invoice INV-2025-0096</t>
  </si>
  <si>
    <t xml:space="preserve">UPI711035548984</t>
  </si>
  <si>
    <t xml:space="preserve">Partial refund against INV-2025-0096 issued after full payment was received.</t>
  </si>
  <si>
    <t xml:space="preserve">TXN-00456</t>
  </si>
  <si>
    <t xml:space="preserve">Office Rent - March 2026</t>
  </si>
  <si>
    <t xml:space="preserve">SI3578421</t>
  </si>
  <si>
    <t xml:space="preserve">TXN-00457</t>
  </si>
  <si>
    <t xml:space="preserve">UPI546087397230</t>
  </si>
  <si>
    <t xml:space="preserve">TXN-00458</t>
  </si>
  <si>
    <t xml:space="preserve">Installment 2 of 2 against Invoice INV-2025-0093</t>
  </si>
  <si>
    <t xml:space="preserve">N249606462133</t>
  </si>
  <si>
    <t xml:space="preserve">Part payment 2/2 for INV-2025-0093</t>
  </si>
  <si>
    <t xml:space="preserve">TXN-00459</t>
  </si>
  <si>
    <t xml:space="preserve">Installment 2 of 3 against Invoice INV-2025-0099</t>
  </si>
  <si>
    <t xml:space="preserve">CHQ261330</t>
  </si>
  <si>
    <t xml:space="preserve">Part payment 2/3 for INV-2025-0099</t>
  </si>
  <si>
    <t xml:space="preserve">TXN-00460</t>
  </si>
  <si>
    <t xml:space="preserve">Business Loan EMI - March 2026</t>
  </si>
  <si>
    <t xml:space="preserve">NACH210355820</t>
  </si>
  <si>
    <t xml:space="preserve">TXN-00461</t>
  </si>
  <si>
    <t xml:space="preserve">UPI credit received from Meridian Healthcare Pvt Ltd</t>
  </si>
  <si>
    <t xml:space="preserve">Payment received against Invoice INV-2025-0097</t>
  </si>
  <si>
    <t xml:space="preserve">UPI205885504757</t>
  </si>
  <si>
    <t xml:space="preserve">INV-2025-0097</t>
  </si>
  <si>
    <t xml:space="preserve">TXN-00462</t>
  </si>
  <si>
    <t xml:space="preserve">IMPS credit received from NextGen Robotics Pvt Ltd</t>
  </si>
  <si>
    <t xml:space="preserve">Payment received against Invoice INV-2025-0098</t>
  </si>
  <si>
    <t xml:space="preserve">CUS-026</t>
  </si>
  <si>
    <t xml:space="preserve">NextGen Robotics Pvt Ltd</t>
  </si>
  <si>
    <t xml:space="preserve">IMPS1461588289</t>
  </si>
  <si>
    <t xml:space="preserve">INV-2025-0098</t>
  </si>
  <si>
    <t xml:space="preserve">TXN-00463</t>
  </si>
  <si>
    <t xml:space="preserve">Partial payment against Invoice INV-2025-0102</t>
  </si>
  <si>
    <t xml:space="preserve">N761117606190</t>
  </si>
  <si>
    <t xml:space="preserve">INV-2025-0102</t>
  </si>
  <si>
    <t xml:space="preserve">TXN-00464</t>
  </si>
  <si>
    <t xml:space="preserve">Internet Charges - March 2026</t>
  </si>
  <si>
    <t xml:space="preserve">NACH832945567</t>
  </si>
  <si>
    <t xml:space="preserve">TXN-00465</t>
  </si>
  <si>
    <t xml:space="preserve">BTR809049956</t>
  </si>
  <si>
    <t xml:space="preserve">TXN-00466</t>
  </si>
  <si>
    <t xml:space="preserve">Payment received against Invoice INV-2025-0106</t>
  </si>
  <si>
    <t xml:space="preserve">N300370801386</t>
  </si>
  <si>
    <t xml:space="preserve">INV-2025-0106</t>
  </si>
  <si>
    <t xml:space="preserve">TXN-00467</t>
  </si>
  <si>
    <t xml:space="preserve">Partial payment against Bill BILL-2025-0052</t>
  </si>
  <si>
    <t xml:space="preserve">N362644039067</t>
  </si>
  <si>
    <t xml:space="preserve">BILL-2025-0052</t>
  </si>
  <si>
    <t xml:space="preserve">TXN-00468</t>
  </si>
  <si>
    <t xml:space="preserve">UPI payment made to ProAudit &amp; Co</t>
  </si>
  <si>
    <t xml:space="preserve">Payment against Bill BILL-2025-0053</t>
  </si>
  <si>
    <t xml:space="preserve">UPI678903881251</t>
  </si>
  <si>
    <t xml:space="preserve">BILL-2025-0053</t>
  </si>
  <si>
    <t xml:space="preserve">TXN-00469</t>
  </si>
  <si>
    <t xml:space="preserve">Cloud Hosting Charges - March 2026</t>
  </si>
  <si>
    <t xml:space="preserve">CARD-XX2767</t>
  </si>
  <si>
    <t xml:space="preserve">TXN-00470</t>
  </si>
  <si>
    <t xml:space="preserve">NEFT payment made to Dell Technologies India Pvt Ltd</t>
  </si>
  <si>
    <t xml:space="preserve">Payment against Bill BILL-2025-0051</t>
  </si>
  <si>
    <t xml:space="preserve">N676550659074</t>
  </si>
  <si>
    <t xml:space="preserve">Laptops &amp; Peripherals Supply</t>
  </si>
  <si>
    <t xml:space="preserve">BILL-2025-0051</t>
  </si>
  <si>
    <t xml:space="preserve">TXN-00471</t>
  </si>
  <si>
    <t xml:space="preserve">IMPS payment made to CloudHost India Pvt Ltd</t>
  </si>
  <si>
    <t xml:space="preserve">Payment against Bill BILL-2025-0049</t>
  </si>
  <si>
    <t xml:space="preserve">IMPS6312402902</t>
  </si>
  <si>
    <t xml:space="preserve">Cloud Storage &amp; Backup Services</t>
  </si>
  <si>
    <t xml:space="preserve">BILL-2025-0049</t>
  </si>
  <si>
    <t xml:space="preserve">TXN-00472</t>
  </si>
  <si>
    <t xml:space="preserve">EPF Contribution - March 2026</t>
  </si>
  <si>
    <t xml:space="preserve">N225432915352</t>
  </si>
  <si>
    <t xml:space="preserve">TXN-00473</t>
  </si>
  <si>
    <t xml:space="preserve">Partial payment against Invoice INV-2025-0101</t>
  </si>
  <si>
    <t xml:space="preserve">UPI888821848360</t>
  </si>
  <si>
    <t xml:space="preserve">INV-2025-0101</t>
  </si>
  <si>
    <t xml:space="preserve">TXN-00474</t>
  </si>
  <si>
    <t xml:space="preserve">NEFT credit received from Stellar Textiles Pvt Ltd</t>
  </si>
  <si>
    <t xml:space="preserve">Payment received against Invoice INV-2025-0108</t>
  </si>
  <si>
    <t xml:space="preserve">N142114393019</t>
  </si>
  <si>
    <t xml:space="preserve">INV-2025-0108</t>
  </si>
  <si>
    <t xml:space="preserve">TXN-00475</t>
  </si>
  <si>
    <t xml:space="preserve">Electricity Bill - March 2026</t>
  </si>
  <si>
    <t xml:space="preserve">NACH859539884</t>
  </si>
  <si>
    <t xml:space="preserve">TXN-00476</t>
  </si>
  <si>
    <t xml:space="preserve">Advance Tax Payment - Q4 FY2025-26</t>
  </si>
  <si>
    <t xml:space="preserve">N293743607807</t>
  </si>
  <si>
    <t xml:space="preserve">TXN-00477</t>
  </si>
  <si>
    <t xml:space="preserve">Bank Transfer credit received from Zenith Manufacturing Co</t>
  </si>
  <si>
    <t xml:space="preserve">Partial payment against Invoice INV-2025-0105</t>
  </si>
  <si>
    <t xml:space="preserve">CUS-006</t>
  </si>
  <si>
    <t xml:space="preserve">Zenith Manufacturing Co</t>
  </si>
  <si>
    <t xml:space="preserve">BTR871396540</t>
  </si>
  <si>
    <t xml:space="preserve">INV-2025-0105</t>
  </si>
  <si>
    <t xml:space="preserve">TXN-00478</t>
  </si>
  <si>
    <t xml:space="preserve">UPI credit received from Pioneer Education Trust</t>
  </si>
  <si>
    <t xml:space="preserve">Partial payment against Invoice INV-2025-0107</t>
  </si>
  <si>
    <t xml:space="preserve">UPI499291418124</t>
  </si>
  <si>
    <t xml:space="preserve">INV-2025-0107</t>
  </si>
  <si>
    <t xml:space="preserve">TXN-00479</t>
  </si>
  <si>
    <t xml:space="preserve">Installment 1 of 2 against Bill BILL-2025-0055</t>
  </si>
  <si>
    <t xml:space="preserve">N823911640951</t>
  </si>
  <si>
    <t xml:space="preserve">BILL-2025-0055</t>
  </si>
  <si>
    <t xml:space="preserve">Part payment 1/2 for BILL-2025-0055</t>
  </si>
  <si>
    <t xml:space="preserve">TXN-00480</t>
  </si>
  <si>
    <t xml:space="preserve">Bank Charges &amp; Fees - March 2026</t>
  </si>
  <si>
    <t xml:space="preserve">BTR594064599</t>
  </si>
  <si>
    <t xml:space="preserve">TXN-00481</t>
  </si>
  <si>
    <t xml:space="preserve">Payment received against Invoice INV-2025-0110</t>
  </si>
  <si>
    <t xml:space="preserve">UPI228576642096</t>
  </si>
  <si>
    <t xml:space="preserve">INV-2025-0110</t>
  </si>
  <si>
    <t xml:space="preserve">TXN-00482</t>
  </si>
  <si>
    <t xml:space="preserve">Cheque payment made to KPMG Advisory Services</t>
  </si>
  <si>
    <t xml:space="preserve">Payment against Bill BILL-2025-0047</t>
  </si>
  <si>
    <t xml:space="preserve">CHQ254534</t>
  </si>
  <si>
    <t xml:space="preserve">BILL-2025-0047</t>
  </si>
  <si>
    <t xml:space="preserve">TXN-00483</t>
  </si>
  <si>
    <t xml:space="preserve">NEFT credit received from BlueOrbit Systems Pvt Ltd</t>
  </si>
  <si>
    <t xml:space="preserve">Payment received against Invoice INV-2025-0104</t>
  </si>
  <si>
    <t xml:space="preserve">CUS-003</t>
  </si>
  <si>
    <t xml:space="preserve">BlueOrbit Systems Pvt Ltd</t>
  </si>
  <si>
    <t xml:space="preserve">N444167482860</t>
  </si>
  <si>
    <t xml:space="preserve">INV-2025-0104</t>
  </si>
  <si>
    <t xml:space="preserve">TXN-00484</t>
  </si>
  <si>
    <t xml:space="preserve">GST Payment (GSTR-3B) - March 2026</t>
  </si>
  <si>
    <t xml:space="preserve">N924024636866</t>
  </si>
  <si>
    <t xml:space="preserve">TXN-00485</t>
  </si>
  <si>
    <t xml:space="preserve">Cheque payment made to ICICI Lombard General Insurance</t>
  </si>
  <si>
    <t xml:space="preserve">Payment against Bill BILL-2025-0048</t>
  </si>
  <si>
    <t xml:space="preserve">VEN-010</t>
  </si>
  <si>
    <t xml:space="preserve">ICICI Lombard General Insurance</t>
  </si>
  <si>
    <t xml:space="preserve">CHQ149779</t>
  </si>
  <si>
    <t xml:space="preserve">Office &amp; Asset Insurance Premium</t>
  </si>
  <si>
    <t xml:space="preserve">BILL-2025-0048</t>
  </si>
  <si>
    <t xml:space="preserve">TXN-00486</t>
  </si>
  <si>
    <t xml:space="preserve">IMPS credit received from BlueOrbit Systems Pvt Ltd</t>
  </si>
  <si>
    <t xml:space="preserve">Payment received against Invoice INV-2025-0095</t>
  </si>
  <si>
    <t xml:space="preserve">IMPS8013370818</t>
  </si>
  <si>
    <t xml:space="preserve">INV-2025-0095</t>
  </si>
  <si>
    <t xml:space="preserve">TXN-00487</t>
  </si>
  <si>
    <t xml:space="preserve">Refund processed to Meridian Healthcare Pvt Ltd</t>
  </si>
  <si>
    <t xml:space="preserve">Partial refund against Invoice INV-2025-0097</t>
  </si>
  <si>
    <t xml:space="preserve">UPI701877064696</t>
  </si>
  <si>
    <t xml:space="preserve">Partial refund against INV-2025-0097 issued after full payment was received.</t>
  </si>
  <si>
    <t xml:space="preserve">TXN-00488</t>
  </si>
  <si>
    <t xml:space="preserve">Bank Transfer credit received from Nova Retail Solutions</t>
  </si>
  <si>
    <t xml:space="preserve">Installment 3 of 3 against Invoice INV-2025-0099</t>
  </si>
  <si>
    <t xml:space="preserve">BTR470107987</t>
  </si>
  <si>
    <t xml:space="preserve">Part payment 3/3 for INV-2025-0099</t>
  </si>
  <si>
    <t xml:space="preserve">TXN-00489</t>
  </si>
  <si>
    <t xml:space="preserve">RTGS payment made to Microsoft India Pvt Ltd</t>
  </si>
  <si>
    <t xml:space="preserve">Payment against Bill BILL-2025-0043</t>
  </si>
  <si>
    <t xml:space="preserve">HDFCR42751079068</t>
  </si>
  <si>
    <t xml:space="preserve">BILL-2025-0043</t>
  </si>
  <si>
    <t xml:space="preserve">TXN-00490</t>
  </si>
  <si>
    <t xml:space="preserve">Cheque payment made to Amazon Web Services India</t>
  </si>
  <si>
    <t xml:space="preserve">Payment against Bill BILL-2025-0045</t>
  </si>
  <si>
    <t xml:space="preserve">CHQ607819</t>
  </si>
  <si>
    <t xml:space="preserve">BILL-2025-0045</t>
  </si>
  <si>
    <t xml:space="preserve">TXN-00491</t>
  </si>
  <si>
    <t xml:space="preserve">Cheque payment made to Meta Platforms India Pvt Ltd</t>
  </si>
  <si>
    <t xml:space="preserve">Payment against Bill BILL-2025-0054</t>
  </si>
  <si>
    <t xml:space="preserve">CHQ627063</t>
  </si>
  <si>
    <t xml:space="preserve">BILL-2025-0054</t>
  </si>
  <si>
    <t xml:space="preserve">TXN-00492</t>
  </si>
  <si>
    <t xml:space="preserve">Bank Transfer credit received from Falcon Aviation Services</t>
  </si>
  <si>
    <t xml:space="preserve">Payment received against Invoice INV-2025-0103</t>
  </si>
  <si>
    <t xml:space="preserve">BTR427871525</t>
  </si>
  <si>
    <t xml:space="preserve">INV-2025-0103</t>
  </si>
  <si>
    <t xml:space="preserve">TXN-00493</t>
  </si>
  <si>
    <t xml:space="preserve">RTGS credit received from Sunrise Apparel Ltd</t>
  </si>
  <si>
    <t xml:space="preserve">Payment received against Invoice INV-2025-0109</t>
  </si>
  <si>
    <t xml:space="preserve">CUS-005</t>
  </si>
  <si>
    <t xml:space="preserve">Sunrise Apparel Ltd</t>
  </si>
  <si>
    <t xml:space="preserve">HDFCR37029194805</t>
  </si>
  <si>
    <t xml:space="preserve">INV-2025-0109</t>
  </si>
  <si>
    <t xml:space="preserve">TXN-00494</t>
  </si>
  <si>
    <t xml:space="preserve">Partial payment against Bill BILL-2025-0050</t>
  </si>
  <si>
    <t xml:space="preserve">BTR468604045</t>
  </si>
  <si>
    <t xml:space="preserve">BILL-2025-0050</t>
  </si>
  <si>
    <t xml:space="preserve">TXN-00495</t>
  </si>
  <si>
    <t xml:space="preserve">RTGS payment made to SecureNet Cybersecurity Services</t>
  </si>
  <si>
    <t xml:space="preserve">Installment 2 of 2 against Bill BILL-2025-0055</t>
  </si>
  <si>
    <t xml:space="preserve">HDFCR81631721696</t>
  </si>
  <si>
    <t xml:space="preserve">Part payment 2/2 for BILL-2025-0055</t>
  </si>
  <si>
    <t xml:space="preserve">Invoice ID</t>
  </si>
  <si>
    <t xml:space="preserve">Invoice Number</t>
  </si>
  <si>
    <t xml:space="preserve">Invoice Date</t>
  </si>
  <si>
    <t xml:space="preserve">Due Date</t>
  </si>
  <si>
    <t xml:space="preserve">Invoice Type</t>
  </si>
  <si>
    <t xml:space="preserve">Customer/Vendor Name</t>
  </si>
  <si>
    <t xml:space="preserve">Description</t>
  </si>
  <si>
    <t xml:space="preserve">Product/Service</t>
  </si>
  <si>
    <t xml:space="preserve">Quantity</t>
  </si>
  <si>
    <t xml:space="preserve">Unit Price (INR)</t>
  </si>
  <si>
    <t xml:space="preserve">Subtotal (INR)</t>
  </si>
  <si>
    <t xml:space="preserve">Discount (INR)</t>
  </si>
  <si>
    <t xml:space="preserve">Taxable Amount (INR)</t>
  </si>
  <si>
    <t xml:space="preserve">GST Rate</t>
  </si>
  <si>
    <t xml:space="preserve">CGST</t>
  </si>
  <si>
    <t xml:space="preserve">SGST</t>
  </si>
  <si>
    <t xml:space="preserve">IGST</t>
  </si>
  <si>
    <t xml:space="preserve">Total Invoice Amount</t>
  </si>
  <si>
    <t xml:space="preserve">Amount Paid</t>
  </si>
  <si>
    <t xml:space="preserve">Outstanding Amount</t>
  </si>
  <si>
    <t xml:space="preserve">Payment Date</t>
  </si>
  <si>
    <t xml:space="preserve">Payment Mode</t>
  </si>
  <si>
    <t xml:space="preserve">Bank Transaction ID(s)</t>
  </si>
  <si>
    <t xml:space="preserve">IID-00142</t>
  </si>
  <si>
    <t xml:space="preserve">Purchase</t>
  </si>
  <si>
    <t xml:space="preserve">Annual Statutory Audit Fees - Bill from ProAudit &amp; Co</t>
  </si>
  <si>
    <t xml:space="preserve">Partially Paid</t>
  </si>
  <si>
    <t xml:space="preserve">IID-00143</t>
  </si>
  <si>
    <t xml:space="preserve">Office IT Equipment Purchase - Bill from Dell Technologies India Pvt Ltd</t>
  </si>
  <si>
    <t xml:space="preserve">Paid</t>
  </si>
  <si>
    <t xml:space="preserve">IID-00119</t>
  </si>
  <si>
    <t xml:space="preserve">Corporate Telecom Plan Charges - Bill from Reliance Jio Business</t>
  </si>
  <si>
    <t xml:space="preserve">IID-00136</t>
  </si>
  <si>
    <t xml:space="preserve">Pantry &amp; Consumables Supply - Bill from Staples Office Solutions</t>
  </si>
  <si>
    <t xml:space="preserve">IID-00153</t>
  </si>
  <si>
    <t xml:space="preserve">Process Consulting Engagement - Bill from KPMG Advisory Services</t>
  </si>
  <si>
    <t xml:space="preserve">IID-00131</t>
  </si>
  <si>
    <t xml:space="preserve">IID-00128</t>
  </si>
  <si>
    <t xml:space="preserve">Mobile Data Plan Billing - Bill from Reliance Jio Business</t>
  </si>
  <si>
    <t xml:space="preserve">Multiple</t>
  </si>
  <si>
    <t xml:space="preserve">TXN-00047, TXN-00049</t>
  </si>
  <si>
    <t xml:space="preserve">Paid via 2 separate installments across linked bank transactions.</t>
  </si>
  <si>
    <t xml:space="preserve">IID-00141</t>
  </si>
  <si>
    <t xml:space="preserve">Annual Software License Renewal - Bill from Adobe Systems India Pvt Ltd</t>
  </si>
  <si>
    <t xml:space="preserve">IID-00120</t>
  </si>
  <si>
    <t xml:space="preserve">Corporate Fuel Card Charges - Bill from Indian Oil Corporation Ltd</t>
  </si>
  <si>
    <t xml:space="preserve">IID-00114</t>
  </si>
  <si>
    <t xml:space="preserve">Cloud Server Hosting Charges - Bill from CloudHost India Pvt Ltd</t>
  </si>
  <si>
    <t xml:space="preserve">IID-00121</t>
  </si>
  <si>
    <t xml:space="preserve">Document Shipping Services - Bill from Bluedart Express Ltd</t>
  </si>
  <si>
    <t xml:space="preserve">IID-00132</t>
  </si>
  <si>
    <t xml:space="preserve">TXN-00132, TXN-00139</t>
  </si>
  <si>
    <t xml:space="preserve">IID-00150</t>
  </si>
  <si>
    <t xml:space="preserve">IID-00113</t>
  </si>
  <si>
    <t xml:space="preserve">IID-00139</t>
  </si>
  <si>
    <t xml:space="preserve">Business Travel Booking - Bill from MakeMyTrip Business</t>
  </si>
  <si>
    <t xml:space="preserve">IID-00155</t>
  </si>
  <si>
    <t xml:space="preserve">BILL-2025-0016</t>
  </si>
  <si>
    <t xml:space="preserve">Hotel Accommodation Charges - Bill from MakeMyTrip Business</t>
  </si>
  <si>
    <t xml:space="preserve">Pending</t>
  </si>
  <si>
    <t xml:space="preserve">IID-00154</t>
  </si>
  <si>
    <t xml:space="preserve">IID-00145</t>
  </si>
  <si>
    <t xml:space="preserve">Search &amp; Display Ad Spend - Bill from Meta Platforms India Pvt Ltd</t>
  </si>
  <si>
    <t xml:space="preserve">IID-00124</t>
  </si>
  <si>
    <t xml:space="preserve">Monthly Bookkeeping Services - Bill from Sharma Chartered Accountants</t>
  </si>
  <si>
    <t xml:space="preserve">IID-00152</t>
  </si>
  <si>
    <t xml:space="preserve">IID-00138</t>
  </si>
  <si>
    <t xml:space="preserve">IID-00117</t>
  </si>
  <si>
    <t xml:space="preserve">Search &amp; Display Ad Spend - Bill from Google India Pvt Ltd</t>
  </si>
  <si>
    <t xml:space="preserve">IID-00123</t>
  </si>
  <si>
    <t xml:space="preserve">Business Advisory Services - Bill from KPMG Advisory Services</t>
  </si>
  <si>
    <t xml:space="preserve">IID-00161</t>
  </si>
  <si>
    <t xml:space="preserve">BILL-2025-0024</t>
  </si>
  <si>
    <t xml:space="preserve">IID-00126</t>
  </si>
  <si>
    <t xml:space="preserve">Annual Software License Renewal - Bill from Microsoft India Pvt Ltd</t>
  </si>
  <si>
    <t xml:space="preserve">IID-00148</t>
  </si>
  <si>
    <t xml:space="preserve">Courier &amp; Logistics Charges - Bill from Bluedart Express Ltd</t>
  </si>
  <si>
    <t xml:space="preserve">IID-00115</t>
  </si>
  <si>
    <t xml:space="preserve">Recruitment &amp; Staffing Services - Bill from TalentBridge HR Consulting</t>
  </si>
  <si>
    <t xml:space="preserve">TXN-00276, TXN-00288</t>
  </si>
  <si>
    <t xml:space="preserve">IID-00127</t>
  </si>
  <si>
    <t xml:space="preserve">BILL-2025-0028</t>
  </si>
  <si>
    <t xml:space="preserve">Laptops &amp; Peripherals Supply - Bill from Dell Technologies India Pvt Ltd</t>
  </si>
  <si>
    <t xml:space="preserve">IID-00147</t>
  </si>
  <si>
    <t xml:space="preserve">IID-00158</t>
  </si>
  <si>
    <t xml:space="preserve">TXN-00321, TXN-00328</t>
  </si>
  <si>
    <t xml:space="preserve">IID-00157</t>
  </si>
  <si>
    <t xml:space="preserve">BILL-2025-0031</t>
  </si>
  <si>
    <t xml:space="preserve">VEN-018</t>
  </si>
  <si>
    <t xml:space="preserve">Godrej Interio</t>
  </si>
  <si>
    <t xml:space="preserve">Office Furniture Supply - Bill from Godrej Interio</t>
  </si>
  <si>
    <t xml:space="preserve">Office Furniture Supply</t>
  </si>
  <si>
    <t xml:space="preserve">Overdue</t>
  </si>
  <si>
    <t xml:space="preserve">IID-00137</t>
  </si>
  <si>
    <t xml:space="preserve">TXN-00326, TXN-00337</t>
  </si>
  <si>
    <t xml:space="preserve">IID-00125</t>
  </si>
  <si>
    <t xml:space="preserve">Contract Drafting &amp; Review - Bill from Rao &amp; Associates</t>
  </si>
  <si>
    <t xml:space="preserve">IID-00144</t>
  </si>
  <si>
    <t xml:space="preserve">BILL-2025-0034</t>
  </si>
  <si>
    <t xml:space="preserve">Fuel &amp; Travel Expense Billing - Bill from Indian Oil Corporation Ltd</t>
  </si>
  <si>
    <t xml:space="preserve">Fuel &amp; Travel Expense Billing</t>
  </si>
  <si>
    <t xml:space="preserve">IID-00112</t>
  </si>
  <si>
    <t xml:space="preserve">IID-00129</t>
  </si>
  <si>
    <t xml:space="preserve">IID-00122</t>
  </si>
  <si>
    <t xml:space="preserve">Vulnerability Assessment - Bill from SecureNet Cybersecurity Services</t>
  </si>
  <si>
    <t xml:space="preserve">IID-00159</t>
  </si>
  <si>
    <t xml:space="preserve">Stationery &amp; Office Supplies - Bill from Staples Office Solutions</t>
  </si>
  <si>
    <t xml:space="preserve">IID-00140</t>
  </si>
  <si>
    <t xml:space="preserve">BILL-2025-0039</t>
  </si>
  <si>
    <t xml:space="preserve">IID-00149</t>
  </si>
  <si>
    <t xml:space="preserve">Internal Audit Services - Bill from ProAudit &amp; Co</t>
  </si>
  <si>
    <t xml:space="preserve">IID-00133</t>
  </si>
  <si>
    <t xml:space="preserve">BILL-2025-0041</t>
  </si>
  <si>
    <t xml:space="preserve">Cancelled</t>
  </si>
  <si>
    <t xml:space="preserve">Bill cancelled; no payment made and none expected (void).</t>
  </si>
  <si>
    <t xml:space="preserve">IID-00135</t>
  </si>
  <si>
    <t xml:space="preserve">Digital Advertising Campaign - Bill from Google India Pvt Ltd</t>
  </si>
  <si>
    <t xml:space="preserve">IID-00146</t>
  </si>
  <si>
    <t xml:space="preserve">IID-00151</t>
  </si>
  <si>
    <t xml:space="preserve">BILL-2025-0044</t>
  </si>
  <si>
    <t xml:space="preserve">IID-00160</t>
  </si>
  <si>
    <t xml:space="preserve">Cloud Storage &amp; Backup Services - Bill from Amazon Web Services India</t>
  </si>
  <si>
    <t xml:space="preserve">IID-00116</t>
  </si>
  <si>
    <t xml:space="preserve">Branding &amp; Marketing Campaign - Bill from BrandCraft Marketing Agency</t>
  </si>
  <si>
    <t xml:space="preserve">IID-00118</t>
  </si>
  <si>
    <t xml:space="preserve">IID-00130</t>
  </si>
  <si>
    <t xml:space="preserve">Office &amp; Asset Insurance Premium - Bill from ICICI Lombard General Insurance</t>
  </si>
  <si>
    <t xml:space="preserve">IID-00134</t>
  </si>
  <si>
    <t xml:space="preserve">Cloud Storage &amp; Backup Services - Bill from CloudHost India Pvt Ltd</t>
  </si>
  <si>
    <t xml:space="preserve">IID-00156</t>
  </si>
  <si>
    <t xml:space="preserve">IID-00164</t>
  </si>
  <si>
    <t xml:space="preserve">IID-00165</t>
  </si>
  <si>
    <t xml:space="preserve">IID-00162</t>
  </si>
  <si>
    <t xml:space="preserve">IID-00163</t>
  </si>
  <si>
    <t xml:space="preserve">IID-00111</t>
  </si>
  <si>
    <t xml:space="preserve">TXN-00479, TXN-00495</t>
  </si>
  <si>
    <t xml:space="preserve">IID-00080</t>
  </si>
  <si>
    <t xml:space="preserve">Sales</t>
  </si>
  <si>
    <t xml:space="preserve">UI/UX Design Services - Invoice to Silverline Media Pvt Ltd</t>
  </si>
  <si>
    <t xml:space="preserve">UI/UX Design Services</t>
  </si>
  <si>
    <t xml:space="preserve">TXN-00006, TXN-00011</t>
  </si>
  <si>
    <t xml:space="preserve">Invoice paid in full; a partial refund of INR 11,900 was issued afterward against this invoice (see linked refund transaction).</t>
  </si>
  <si>
    <t xml:space="preserve">IID-00096</t>
  </si>
  <si>
    <t xml:space="preserve">Technical Support Retainer - Monthly - Invoice to Pioneer Education Trust</t>
  </si>
  <si>
    <t xml:space="preserve">Technical Support Retainer - Monthly</t>
  </si>
  <si>
    <t xml:space="preserve">TXN-00021, TXN-00024</t>
  </si>
  <si>
    <t xml:space="preserve">IID-00006</t>
  </si>
  <si>
    <t xml:space="preserve">INV-2025-0003</t>
  </si>
  <si>
    <t xml:space="preserve">Cloud Migration Services - Invoice to Skyline E-Commerce Pvt Ltd</t>
  </si>
  <si>
    <t xml:space="preserve">Cloud Migration Services</t>
  </si>
  <si>
    <t xml:space="preserve">Paid together with 2 other invoice(s) in one consolidated transaction (INV-2025-0003, INV-2025-0004, INV-2025-0005).</t>
  </si>
  <si>
    <t xml:space="preserve">IID-00004</t>
  </si>
  <si>
    <t xml:space="preserve">INV-2025-0004</t>
  </si>
  <si>
    <t xml:space="preserve">API Integration Services - Invoice to BlueOrbit Systems Pvt Ltd</t>
  </si>
  <si>
    <t xml:space="preserve">API Integration Services</t>
  </si>
  <si>
    <t xml:space="preserve">IID-00005</t>
  </si>
  <si>
    <t xml:space="preserve">INV-2025-0005</t>
  </si>
  <si>
    <t xml:space="preserve">IT Consulting Services - Invoice to Nova Retail Solutions</t>
  </si>
  <si>
    <t xml:space="preserve">IT Consulting Services</t>
  </si>
  <si>
    <t xml:space="preserve">IID-00036</t>
  </si>
  <si>
    <t xml:space="preserve">E-commerce Platform Development - Invoice to Stellar Textiles Pvt Ltd</t>
  </si>
  <si>
    <t xml:space="preserve">E-commerce Platform Development</t>
  </si>
  <si>
    <t xml:space="preserve">IID-00031</t>
  </si>
  <si>
    <t xml:space="preserve">Cloud Migration Services - Invoice to Silverline Media Pvt Ltd</t>
  </si>
  <si>
    <t xml:space="preserve">IID-00050</t>
  </si>
  <si>
    <t xml:space="preserve">Custom Software Development - Invoice to Lakeside Resorts Pvt Ltd</t>
  </si>
  <si>
    <t xml:space="preserve">Custom Software Development</t>
  </si>
  <si>
    <t xml:space="preserve">IID-00066</t>
  </si>
  <si>
    <t xml:space="preserve">SaaS Subscription - Enterprise Plan - Invoice to Crystal Clear Water Solutions</t>
  </si>
  <si>
    <t xml:space="preserve">SaaS Subscription - Enterprise Plan</t>
  </si>
  <si>
    <t xml:space="preserve">TXN-00051, TXN-00062</t>
  </si>
  <si>
    <t xml:space="preserve">IID-00095</t>
  </si>
  <si>
    <t xml:space="preserve">Mobile App Development (iOS/Android) - Invoice to Prime Realty Ventures</t>
  </si>
  <si>
    <t xml:space="preserve">Mobile App Development (iOS/Android)</t>
  </si>
  <si>
    <t xml:space="preserve">IID-00088</t>
  </si>
  <si>
    <t xml:space="preserve">Technical Support Retainer - Monthly - Invoice to Metro Grocery Chain Pvt Ltd</t>
  </si>
  <si>
    <t xml:space="preserve">IID-00034</t>
  </si>
  <si>
    <t xml:space="preserve">Custom Software Development - Invoice to Redwood Constructions Pvt Ltd</t>
  </si>
  <si>
    <t xml:space="preserve">IID-00014</t>
  </si>
  <si>
    <t xml:space="preserve">Annual Maintenance Contract (AMC) - Invoice to BrightPath Consulting</t>
  </si>
  <si>
    <t xml:space="preserve">Annual Maintenance Contract (AMC)</t>
  </si>
  <si>
    <t xml:space="preserve">TXN-00081, TXN-00084</t>
  </si>
  <si>
    <t xml:space="preserve">IID-00084</t>
  </si>
  <si>
    <t xml:space="preserve">UI/UX Design Services - Invoice to Acme Technologies Pvt Ltd</t>
  </si>
  <si>
    <t xml:space="preserve">IID-00017</t>
  </si>
  <si>
    <t xml:space="preserve">QA &amp; Testing Services - Invoice to Emerald Jewellers Pvt Ltd</t>
  </si>
  <si>
    <t xml:space="preserve">QA &amp; Testing Services</t>
  </si>
  <si>
    <t xml:space="preserve">IID-00025</t>
  </si>
  <si>
    <t xml:space="preserve">Annual Maintenance Contract (AMC) - Invoice to Vantage Insurance Brokers</t>
  </si>
  <si>
    <t xml:space="preserve">TXN-00089, TXN-00095</t>
  </si>
  <si>
    <t xml:space="preserve">IID-00032</t>
  </si>
  <si>
    <t xml:space="preserve">INV-2025-0017</t>
  </si>
  <si>
    <t xml:space="preserve">ERP Customization Services - Invoice to Prime Realty Ventures</t>
  </si>
  <si>
    <t xml:space="preserve">ERP Customization Services</t>
  </si>
  <si>
    <t xml:space="preserve">IID-00062</t>
  </si>
  <si>
    <t xml:space="preserve">IT Consulting Services - Invoice to Lakeside Resorts Pvt Ltd</t>
  </si>
  <si>
    <t xml:space="preserve">IID-00078</t>
  </si>
  <si>
    <t xml:space="preserve">IT Consulting Services - Invoice to Prime Realty Ventures</t>
  </si>
  <si>
    <t xml:space="preserve">IID-00102</t>
  </si>
  <si>
    <t xml:space="preserve">Annual Maintenance Contract (AMC) - Invoice to Cascade Beverages Pvt Ltd</t>
  </si>
  <si>
    <t xml:space="preserve">TXN-00159, TXN-00162</t>
  </si>
  <si>
    <t xml:space="preserve">IID-00110</t>
  </si>
  <si>
    <t xml:space="preserve">QA &amp; Testing Services - Invoice to Greenfield Agro Industries</t>
  </si>
  <si>
    <t xml:space="preserve">TXN-00143, TXN-00157, TXN-00166</t>
  </si>
  <si>
    <t xml:space="preserve">Paid via 3 separate installments across linked bank transactions.</t>
  </si>
  <si>
    <t xml:space="preserve">IID-00035</t>
  </si>
  <si>
    <t xml:space="preserve">QA &amp; Testing Services - Invoice to Nova Retail Solutions</t>
  </si>
  <si>
    <t xml:space="preserve">IID-00045</t>
  </si>
  <si>
    <t xml:space="preserve">SaaS Subscription - Enterprise Plan - Invoice to Silverline Media Pvt Ltd</t>
  </si>
  <si>
    <t xml:space="preserve">Payment received includes INR 16,000 advance towards future work (see linked transaction).</t>
  </si>
  <si>
    <t xml:space="preserve">IID-00021</t>
  </si>
  <si>
    <t xml:space="preserve">Cloud Migration Services - Invoice to Nova Retail Solutions</t>
  </si>
  <si>
    <t xml:space="preserve">IID-00069</t>
  </si>
  <si>
    <t xml:space="preserve">QA &amp; Testing Services - Invoice to BrightPath Consulting</t>
  </si>
  <si>
    <t xml:space="preserve">IID-00042</t>
  </si>
  <si>
    <t xml:space="preserve">INV-2025-0026</t>
  </si>
  <si>
    <t xml:space="preserve">DevOps &amp; Infrastructure Setup - Invoice to Horizon Hospitality Group</t>
  </si>
  <si>
    <t xml:space="preserve">DevOps &amp; Infrastructure Setup</t>
  </si>
  <si>
    <t xml:space="preserve">IID-00057</t>
  </si>
  <si>
    <t xml:space="preserve">API Integration Services - Invoice to BrightPath Consulting</t>
  </si>
  <si>
    <t xml:space="preserve">IID-00077</t>
  </si>
  <si>
    <t xml:space="preserve">INV-2025-0028</t>
  </si>
  <si>
    <t xml:space="preserve">Custom Software Development - Invoice to Vantage Insurance Brokers</t>
  </si>
  <si>
    <t xml:space="preserve">IID-00070</t>
  </si>
  <si>
    <t xml:space="preserve">DevOps &amp; Infrastructure Setup - Invoice to Golden Gate Exports Pvt Ltd</t>
  </si>
  <si>
    <t xml:space="preserve">IID-00016</t>
  </si>
  <si>
    <t xml:space="preserve">IID-00052</t>
  </si>
  <si>
    <t xml:space="preserve">SaaS Subscription - Enterprise Plan - Invoice to Prime Realty Ventures</t>
  </si>
  <si>
    <t xml:space="preserve">TXN-00202, TXN-00209, TXN-00240</t>
  </si>
  <si>
    <t xml:space="preserve">IID-00103</t>
  </si>
  <si>
    <t xml:space="preserve">E-commerce Platform Development - Invoice to Lakeside Resorts Pvt Ltd</t>
  </si>
  <si>
    <t xml:space="preserve">IID-00091</t>
  </si>
  <si>
    <t xml:space="preserve">IID-00039</t>
  </si>
  <si>
    <t xml:space="preserve">SaaS Subscription - Enterprise Plan - Invoice to Lakeside Resorts Pvt Ltd</t>
  </si>
  <si>
    <t xml:space="preserve">IID-00061</t>
  </si>
  <si>
    <t xml:space="preserve">Mobile App Development (iOS/Android) - Invoice to Coastal Logistics Pvt Ltd</t>
  </si>
  <si>
    <t xml:space="preserve">IID-00022</t>
  </si>
  <si>
    <t xml:space="preserve">IID-00054</t>
  </si>
  <si>
    <t xml:space="preserve">E-commerce Platform Development - Invoice to Cascade Beverages Pvt Ltd</t>
  </si>
  <si>
    <t xml:space="preserve">IID-00029</t>
  </si>
  <si>
    <t xml:space="preserve">Data Analytics Dashboard Development - Invoice to Golden Gate Exports Pvt Ltd</t>
  </si>
  <si>
    <t xml:space="preserve">Data Analytics Dashboard Development</t>
  </si>
  <si>
    <t xml:space="preserve">Payment received includes INR 16,500 advance towards future work (see linked transaction).</t>
  </si>
  <si>
    <t xml:space="preserve">IID-00040</t>
  </si>
  <si>
    <t xml:space="preserve">DevOps &amp; Infrastructure Setup - Invoice to Orion Pharma Ltd</t>
  </si>
  <si>
    <t xml:space="preserve">TXN-00218, TXN-00225, TXN-00234</t>
  </si>
  <si>
    <t xml:space="preserve">IID-00046</t>
  </si>
  <si>
    <t xml:space="preserve">Web Application Development - Invoice to Golden Gate Exports Pvt Ltd</t>
  </si>
  <si>
    <t xml:space="preserve">Web Application Development</t>
  </si>
  <si>
    <t xml:space="preserve">IID-00055</t>
  </si>
  <si>
    <t xml:space="preserve">ERP Customization Services - Invoice to Infinity Sports Apparel</t>
  </si>
  <si>
    <t xml:space="preserve">TXN-00270, TXN-00290</t>
  </si>
  <si>
    <t xml:space="preserve">IID-00028</t>
  </si>
  <si>
    <t xml:space="preserve">INV-2025-0042</t>
  </si>
  <si>
    <t xml:space="preserve">E-commerce Platform Development - Invoice to NextGen Robotics Pvt Ltd</t>
  </si>
  <si>
    <t xml:space="preserve">Invoice cancelled; no payment collected and none expected (void).</t>
  </si>
  <si>
    <t xml:space="preserve">IID-00086</t>
  </si>
  <si>
    <t xml:space="preserve">Mobile App Development (iOS/Android) - Invoice to Silverline Media Pvt Ltd</t>
  </si>
  <si>
    <t xml:space="preserve">IID-00033</t>
  </si>
  <si>
    <t xml:space="preserve">DevOps &amp; Infrastructure Setup - Invoice to Falcon Aviation Services</t>
  </si>
  <si>
    <t xml:space="preserve">IID-00097</t>
  </si>
  <si>
    <t xml:space="preserve">Cloud Migration Services - Invoice to Emerald Jewellers Pvt Ltd</t>
  </si>
  <si>
    <t xml:space="preserve">IID-00106</t>
  </si>
  <si>
    <t xml:space="preserve">UI/UX Design Services - Invoice to Emerald Jewellers Pvt Ltd</t>
  </si>
  <si>
    <t xml:space="preserve">IID-00090</t>
  </si>
  <si>
    <t xml:space="preserve">Annual Maintenance Contract (AMC) - Invoice to Emerald Jewellers Pvt Ltd</t>
  </si>
  <si>
    <t xml:space="preserve">IID-00094</t>
  </si>
  <si>
    <t xml:space="preserve">ERP Customization Services - Invoice to BrightPath Consulting</t>
  </si>
  <si>
    <t xml:space="preserve">TXN-00271, TXN-00293</t>
  </si>
  <si>
    <t xml:space="preserve">Invoice paid in full; a partial refund of INR 38,300 was issued afterward against this invoice (see linked refund transaction).</t>
  </si>
  <si>
    <t xml:space="preserve">IID-00060</t>
  </si>
  <si>
    <t xml:space="preserve">API Integration Services - Invoice to Trident Automobiles Pvt Ltd</t>
  </si>
  <si>
    <t xml:space="preserve">Payment received includes INR 12,000 advance towards future work (see linked transaction).</t>
  </si>
  <si>
    <t xml:space="preserve">IID-00007</t>
  </si>
  <si>
    <t xml:space="preserve">INV-2025-0050</t>
  </si>
  <si>
    <t xml:space="preserve">Web Application Development - Invoice to Cascade Beverages Pvt Ltd</t>
  </si>
  <si>
    <t xml:space="preserve">Paid together with 1 other invoice(s) in one consolidated transaction (INV-2025-0050, INV-2025-0051).</t>
  </si>
  <si>
    <t xml:space="preserve">IID-00008</t>
  </si>
  <si>
    <t xml:space="preserve">INV-2025-0051</t>
  </si>
  <si>
    <t xml:space="preserve">Custom Software Development - Invoice to Emerald Jewellers Pvt Ltd</t>
  </si>
  <si>
    <t xml:space="preserve">IID-00058</t>
  </si>
  <si>
    <t xml:space="preserve">Web Application Development - Invoice to Orion Pharma Ltd</t>
  </si>
  <si>
    <t xml:space="preserve">TXN-00282, TXN-00318, TXN-00338</t>
  </si>
  <si>
    <t xml:space="preserve">IID-00012</t>
  </si>
  <si>
    <t xml:space="preserve">INV-2025-0053</t>
  </si>
  <si>
    <t xml:space="preserve">Annual Maintenance Contract (AMC) - Invoice to Crystal Clear Water Solutions</t>
  </si>
  <si>
    <t xml:space="preserve">Paid together with 2 other invoice(s) in one consolidated transaction (INV-2025-0053, INV-2025-0054, INV-2025-0055).</t>
  </si>
  <si>
    <t xml:space="preserve">IID-00011</t>
  </si>
  <si>
    <t xml:space="preserve">INV-2025-0054</t>
  </si>
  <si>
    <t xml:space="preserve">Cloud Migration Services - Invoice to Orion Pharma Ltd</t>
  </si>
  <si>
    <t xml:space="preserve">IID-00013</t>
  </si>
  <si>
    <t xml:space="preserve">INV-2025-0055</t>
  </si>
  <si>
    <t xml:space="preserve">ERP Customization Services - Invoice to Nova Retail Solutions</t>
  </si>
  <si>
    <t xml:space="preserve">IID-00051</t>
  </si>
  <si>
    <t xml:space="preserve">Cloud Migration Services - Invoice to Acme Technologies Pvt Ltd</t>
  </si>
  <si>
    <t xml:space="preserve">TXN-00310, TXN-00365</t>
  </si>
  <si>
    <t xml:space="preserve">IID-00089</t>
  </si>
  <si>
    <t xml:space="preserve">Web Application Development - Invoice to Trident Automobiles Pvt Ltd</t>
  </si>
  <si>
    <t xml:space="preserve">IID-00071</t>
  </si>
  <si>
    <t xml:space="preserve">Web Application Development - Invoice to Meridian Healthcare Pvt Ltd</t>
  </si>
  <si>
    <t xml:space="preserve">IID-00048</t>
  </si>
  <si>
    <t xml:space="preserve">Technical Support Retainer - Monthly - Invoice to Coastal Logistics Pvt Ltd</t>
  </si>
  <si>
    <t xml:space="preserve">IID-00093</t>
  </si>
  <si>
    <t xml:space="preserve">IID-00083</t>
  </si>
  <si>
    <t xml:space="preserve">INV-2025-0061</t>
  </si>
  <si>
    <t xml:space="preserve">Annual Maintenance Contract (AMC) - Invoice to Trident Automobiles Pvt Ltd</t>
  </si>
  <si>
    <t xml:space="preserve">IID-00081</t>
  </si>
  <si>
    <t xml:space="preserve">IT Consulting Services - Invoice to Orion Pharma Ltd</t>
  </si>
  <si>
    <t xml:space="preserve">IID-00047</t>
  </si>
  <si>
    <t xml:space="preserve">Annual Maintenance Contract (AMC) - Invoice to Horizon Hospitality Group</t>
  </si>
  <si>
    <t xml:space="preserve">Payment received includes INR 11,500 advance towards future work (see linked transaction).</t>
  </si>
  <si>
    <t xml:space="preserve">IID-00073</t>
  </si>
  <si>
    <t xml:space="preserve">Data Analytics Dashboard Development - Invoice to Emerald Jewellers Pvt Ltd</t>
  </si>
  <si>
    <t xml:space="preserve">TXN-00333, TXN-00360</t>
  </si>
  <si>
    <t xml:space="preserve">IID-00099</t>
  </si>
  <si>
    <t xml:space="preserve">IT Consulting Services - Invoice to Infinity Sports Apparel</t>
  </si>
  <si>
    <t xml:space="preserve">IID-00044</t>
  </si>
  <si>
    <t xml:space="preserve">INV-2025-0066</t>
  </si>
  <si>
    <t xml:space="preserve">IT Consulting Services - Invoice to BrightPath Consulting</t>
  </si>
  <si>
    <t xml:space="preserve">IID-00085</t>
  </si>
  <si>
    <t xml:space="preserve">E-commerce Platform Development - Invoice to Infinity Sports Apparel</t>
  </si>
  <si>
    <t xml:space="preserve">IID-00026</t>
  </si>
  <si>
    <t xml:space="preserve">IID-00027</t>
  </si>
  <si>
    <t xml:space="preserve">INV-2025-0069</t>
  </si>
  <si>
    <t xml:space="preserve">SaaS Subscription - Enterprise Plan - Invoice to Orion Pharma Ltd</t>
  </si>
  <si>
    <t xml:space="preserve">IID-00020</t>
  </si>
  <si>
    <t xml:space="preserve">DevOps &amp; Infrastructure Setup - Invoice to Nova Retail Solutions</t>
  </si>
  <si>
    <t xml:space="preserve">TXN-00359, TXN-00378</t>
  </si>
  <si>
    <t xml:space="preserve">IID-00038</t>
  </si>
  <si>
    <t xml:space="preserve">Technical Support Retainer - Monthly - Invoice to Stellar Textiles Pvt Ltd</t>
  </si>
  <si>
    <t xml:space="preserve">IID-00063</t>
  </si>
  <si>
    <t xml:space="preserve">INV-2025-0072</t>
  </si>
  <si>
    <t xml:space="preserve">Custom Software Development - Invoice to Sunrise Apparel Ltd</t>
  </si>
  <si>
    <t xml:space="preserve">IID-00043</t>
  </si>
  <si>
    <t xml:space="preserve">INV-2025-0073</t>
  </si>
  <si>
    <t xml:space="preserve">DevOps &amp; Infrastructure Setup - Invoice to Prime Realty Ventures</t>
  </si>
  <si>
    <t xml:space="preserve">IID-00105</t>
  </si>
  <si>
    <t xml:space="preserve">INV-2025-0074</t>
  </si>
  <si>
    <t xml:space="preserve">CUS-027</t>
  </si>
  <si>
    <t xml:space="preserve">Harbor Freight Solutions</t>
  </si>
  <si>
    <t xml:space="preserve">Annual Maintenance Contract (AMC) - Invoice to Harbor Freight Solutions</t>
  </si>
  <si>
    <t xml:space="preserve">IID-00092</t>
  </si>
  <si>
    <t xml:space="preserve">Technical Support Retainer - Monthly - Invoice to Emerald Jewellers Pvt Ltd</t>
  </si>
  <si>
    <t xml:space="preserve">IID-00030</t>
  </si>
  <si>
    <t xml:space="preserve">IID-00009</t>
  </si>
  <si>
    <t xml:space="preserve">INV-2025-0077</t>
  </si>
  <si>
    <t xml:space="preserve">Cloud Migration Services - Invoice to Horizon Hospitality Group</t>
  </si>
  <si>
    <t xml:space="preserve">Paid together with 1 other invoice(s) in one consolidated transaction (INV-2025-0077, INV-2025-0078).</t>
  </si>
  <si>
    <t xml:space="preserve">IID-00010</t>
  </si>
  <si>
    <t xml:space="preserve">INV-2025-0078</t>
  </si>
  <si>
    <t xml:space="preserve">IT Consulting Services - Invoice to Greenfield Agro Industries</t>
  </si>
  <si>
    <t xml:space="preserve">IID-00064</t>
  </si>
  <si>
    <t xml:space="preserve">Data Analytics Dashboard Development - Invoice to Greenfield Agro Industries</t>
  </si>
  <si>
    <t xml:space="preserve">IID-00108</t>
  </si>
  <si>
    <t xml:space="preserve">INV-2025-0080</t>
  </si>
  <si>
    <t xml:space="preserve">IT Consulting Services - Invoice to Pioneer Education Trust</t>
  </si>
  <si>
    <t xml:space="preserve">IID-00082</t>
  </si>
  <si>
    <t xml:space="preserve">DevOps &amp; Infrastructure Setup - Invoice to Lakeside Resorts Pvt Ltd</t>
  </si>
  <si>
    <t xml:space="preserve">IID-00087</t>
  </si>
  <si>
    <t xml:space="preserve">API Integration Services - Invoice to Meridian Healthcare Pvt Ltd</t>
  </si>
  <si>
    <t xml:space="preserve">IID-00001</t>
  </si>
  <si>
    <t xml:space="preserve">INV-2025-0083</t>
  </si>
  <si>
    <t xml:space="preserve">UI/UX Design Services - Invoice to BrightPath Consulting</t>
  </si>
  <si>
    <t xml:space="preserve">Paid together with 2 other invoice(s) in one consolidated transaction (INV-2025-0083, INV-2025-0084, INV-2025-0086).</t>
  </si>
  <si>
    <t xml:space="preserve">IID-00002</t>
  </si>
  <si>
    <t xml:space="preserve">INV-2025-0084</t>
  </si>
  <si>
    <t xml:space="preserve">IID-00079</t>
  </si>
  <si>
    <t xml:space="preserve">SaaS Subscription - Enterprise Plan - Invoice to BrightPath Consulting</t>
  </si>
  <si>
    <t xml:space="preserve">TXN-00410, TXN-00427</t>
  </si>
  <si>
    <t xml:space="preserve">IID-00003</t>
  </si>
  <si>
    <t xml:space="preserve">INV-2025-0086</t>
  </si>
  <si>
    <t xml:space="preserve">DevOps &amp; Infrastructure Setup - Invoice to Cascade Beverages Pvt Ltd</t>
  </si>
  <si>
    <t xml:space="preserve">IID-00074</t>
  </si>
  <si>
    <t xml:space="preserve">IID-00024</t>
  </si>
  <si>
    <t xml:space="preserve">INV-2025-0088</t>
  </si>
  <si>
    <t xml:space="preserve">IID-00041</t>
  </si>
  <si>
    <t xml:space="preserve">Data Analytics Dashboard Development - Invoice to Falcon Aviation Services</t>
  </si>
  <si>
    <t xml:space="preserve">IID-00049</t>
  </si>
  <si>
    <t xml:space="preserve">Annual Maintenance Contract (AMC) - Invoice to Infinity Sports Apparel</t>
  </si>
  <si>
    <t xml:space="preserve">IID-00023</t>
  </si>
  <si>
    <t xml:space="preserve">DevOps &amp; Infrastructure Setup - Invoice to Redwood Constructions Pvt Ltd</t>
  </si>
  <si>
    <t xml:space="preserve">IID-00109</t>
  </si>
  <si>
    <t xml:space="preserve">DevOps &amp; Infrastructure Setup - Invoice to Skyline E-Commerce Pvt Ltd</t>
  </si>
  <si>
    <t xml:space="preserve">TXN-00421, TXN-00428</t>
  </si>
  <si>
    <t xml:space="preserve">IID-00067</t>
  </si>
  <si>
    <t xml:space="preserve">Annual Maintenance Contract (AMC) - Invoice to Greenfield Agro Industries</t>
  </si>
  <si>
    <t xml:space="preserve">TXN-00413, TXN-00458</t>
  </si>
  <si>
    <t xml:space="preserve">IID-00019</t>
  </si>
  <si>
    <t xml:space="preserve">QA &amp; Testing Services - Invoice to Trident Automobiles Pvt Ltd</t>
  </si>
  <si>
    <t xml:space="preserve">IID-00075</t>
  </si>
  <si>
    <t xml:space="preserve">Data Analytics Dashboard Development - Invoice to BlueOrbit Systems Pvt Ltd</t>
  </si>
  <si>
    <t xml:space="preserve">IID-00104</t>
  </si>
  <si>
    <t xml:space="preserve">SaaS Subscription - Enterprise Plan - Invoice to Metro Grocery Chain Pvt Ltd</t>
  </si>
  <si>
    <t xml:space="preserve">TXN-00414, TXN-00455</t>
  </si>
  <si>
    <t xml:space="preserve">Invoice paid in full; a partial refund of INR 55,100 was issued afterward against this invoice (see linked refund transaction).</t>
  </si>
  <si>
    <t xml:space="preserve">IID-00101</t>
  </si>
  <si>
    <t xml:space="preserve">Mobile App Development (iOS/Android) - Invoice to Meridian Healthcare Pvt Ltd</t>
  </si>
  <si>
    <t xml:space="preserve">TXN-00461, TXN-00487</t>
  </si>
  <si>
    <t xml:space="preserve">Invoice paid in full; a partial refund of INR 46,700 was issued afterward against this invoice (see linked refund transaction).</t>
  </si>
  <si>
    <t xml:space="preserve">IID-00018</t>
  </si>
  <si>
    <t xml:space="preserve">API Integration Services - Invoice to NextGen Robotics Pvt Ltd</t>
  </si>
  <si>
    <t xml:space="preserve">IID-00056</t>
  </si>
  <si>
    <t xml:space="preserve">API Integration Services - Invoice to Nova Retail Solutions</t>
  </si>
  <si>
    <t xml:space="preserve">TXN-00429, TXN-00459, TXN-00488</t>
  </si>
  <si>
    <t xml:space="preserve">IID-00053</t>
  </si>
  <si>
    <t xml:space="preserve">INV-2025-0100</t>
  </si>
  <si>
    <t xml:space="preserve">Cloud Migration Services - Invoice to Meridian Healthcare Pvt Ltd</t>
  </si>
  <si>
    <t xml:space="preserve">IID-00076</t>
  </si>
  <si>
    <t xml:space="preserve">IID-00059</t>
  </si>
  <si>
    <t xml:space="preserve">UI/UX Design Services - Invoice to Vantage Insurance Brokers</t>
  </si>
  <si>
    <t xml:space="preserve">IID-00100</t>
  </si>
  <si>
    <t xml:space="preserve">Custom Software Development - Invoice to Falcon Aviation Services</t>
  </si>
  <si>
    <t xml:space="preserve">IID-00037</t>
  </si>
  <si>
    <t xml:space="preserve">IID-00072</t>
  </si>
  <si>
    <t xml:space="preserve">E-commerce Platform Development - Invoice to Zenith Manufacturing Co</t>
  </si>
  <si>
    <t xml:space="preserve">IID-00098</t>
  </si>
  <si>
    <t xml:space="preserve">Data Analytics Dashboard Development - Invoice to Infinity Sports Apparel</t>
  </si>
  <si>
    <t xml:space="preserve">IID-00068</t>
  </si>
  <si>
    <t xml:space="preserve">IID-00015</t>
  </si>
  <si>
    <t xml:space="preserve">UI/UX Design Services - Invoice to Stellar Textiles Pvt Ltd</t>
  </si>
  <si>
    <t xml:space="preserve">IID-00065</t>
  </si>
  <si>
    <t xml:space="preserve">UI/UX Design Services - Invoice to Sunrise Apparel Ltd</t>
  </si>
  <si>
    <t xml:space="preserve">IID-00107</t>
  </si>
  <si>
    <t xml:space="preserve">Data Analytics Dashboard Development - Invoice to Pioneer Education Trust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</si>
</sst>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;\(#,##0\)"/>
    <numFmt numFmtId="167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0" min="9" style="0" width="34"/>
    <col collapsed="false" customWidth="true" hidden="false" outlineLevel="0" max="11" min="11" style="0" width="12"/>
    <col collapsed="false" customWidth="true" hidden="false" outlineLevel="0" max="12" min="12" style="0" width="26"/>
    <col collapsed="false" customWidth="true" hidden="false" outlineLevel="0" max="13" min="13" style="0" width="15"/>
    <col collapsed="false" customWidth="true" hidden="false" outlineLevel="0" max="15" min="14" style="0" width="16"/>
    <col collapsed="false" customWidth="true" hidden="false" outlineLevel="0" max="16" min="16" style="0" width="22"/>
    <col collapsed="false" customWidth="true" hidden="false" outlineLevel="0" max="17" min="17" style="0" width="20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3" t="n">
        <v>45748</v>
      </c>
      <c r="C2" s="3" t="n">
        <v>45748</v>
      </c>
      <c r="D2" s="2" t="s">
        <v>21</v>
      </c>
      <c r="E2" s="4" t="s">
        <v>22</v>
      </c>
      <c r="F2" s="5" t="n">
        <v>7500000</v>
      </c>
      <c r="G2" s="6" t="n">
        <f aca="false">F2</f>
        <v>7500000</v>
      </c>
      <c r="H2" s="4" t="s">
        <v>23</v>
      </c>
      <c r="I2" s="2" t="s">
        <v>24</v>
      </c>
      <c r="J2" s="2" t="s">
        <v>25</v>
      </c>
      <c r="K2" s="4"/>
      <c r="L2" s="2" t="s">
        <v>26</v>
      </c>
      <c r="M2" s="4" t="s">
        <v>27</v>
      </c>
      <c r="N2" s="2" t="s">
        <v>28</v>
      </c>
      <c r="O2" s="2" t="s">
        <v>22</v>
      </c>
      <c r="P2" s="2" t="s">
        <v>29</v>
      </c>
      <c r="Q2" s="2"/>
      <c r="R2" s="4" t="s">
        <v>30</v>
      </c>
      <c r="S2" s="5" t="n">
        <v>0</v>
      </c>
      <c r="T2" s="2" t="s">
        <v>31</v>
      </c>
    </row>
    <row r="3" customFormat="false" ht="15" hidden="false" customHeight="false" outlineLevel="0" collapsed="false">
      <c r="A3" s="2" t="s">
        <v>32</v>
      </c>
      <c r="B3" s="3" t="n">
        <v>45749</v>
      </c>
      <c r="C3" s="3" t="n">
        <v>45749</v>
      </c>
      <c r="D3" s="2" t="s">
        <v>21</v>
      </c>
      <c r="E3" s="4" t="s">
        <v>33</v>
      </c>
      <c r="F3" s="5" t="n">
        <v>6850</v>
      </c>
      <c r="G3" s="6" t="n">
        <f aca="false">G2+IF(E3="Credit",F3,IF(E3="Debit",-F3,0))</f>
        <v>7493150</v>
      </c>
      <c r="H3" s="4" t="s">
        <v>34</v>
      </c>
      <c r="I3" s="2" t="s">
        <v>35</v>
      </c>
      <c r="J3" s="2" t="s">
        <v>35</v>
      </c>
      <c r="K3" s="4" t="s">
        <v>36</v>
      </c>
      <c r="L3" s="2" t="s">
        <v>37</v>
      </c>
      <c r="M3" s="4" t="s">
        <v>38</v>
      </c>
      <c r="N3" s="2" t="s">
        <v>39</v>
      </c>
      <c r="O3" s="2" t="s">
        <v>40</v>
      </c>
      <c r="P3" s="2" t="s">
        <v>41</v>
      </c>
      <c r="Q3" s="2"/>
      <c r="R3" s="4" t="s">
        <v>30</v>
      </c>
      <c r="S3" s="5" t="n">
        <v>0</v>
      </c>
      <c r="T3" s="2"/>
    </row>
    <row r="4" customFormat="false" ht="15" hidden="false" customHeight="false" outlineLevel="0" collapsed="false">
      <c r="A4" s="2" t="s">
        <v>42</v>
      </c>
      <c r="B4" s="3" t="n">
        <v>45750</v>
      </c>
      <c r="C4" s="3" t="n">
        <v>45750</v>
      </c>
      <c r="D4" s="2" t="s">
        <v>21</v>
      </c>
      <c r="E4" s="4" t="s">
        <v>33</v>
      </c>
      <c r="F4" s="5" t="n">
        <v>95000</v>
      </c>
      <c r="G4" s="6" t="n">
        <f aca="false">G3+IF(E4="Credit",F4,IF(E4="Debit",-F4,0))</f>
        <v>7398150</v>
      </c>
      <c r="H4" s="4" t="s">
        <v>43</v>
      </c>
      <c r="I4" s="2" t="s">
        <v>44</v>
      </c>
      <c r="J4" s="2" t="s">
        <v>45</v>
      </c>
      <c r="K4" s="4" t="s">
        <v>46</v>
      </c>
      <c r="L4" s="2" t="s">
        <v>47</v>
      </c>
      <c r="M4" s="4" t="s">
        <v>38</v>
      </c>
      <c r="N4" s="2" t="s">
        <v>48</v>
      </c>
      <c r="O4" s="2" t="s">
        <v>49</v>
      </c>
      <c r="P4" s="2" t="s">
        <v>50</v>
      </c>
      <c r="Q4" s="2"/>
      <c r="R4" s="4" t="s">
        <v>30</v>
      </c>
      <c r="S4" s="5" t="n">
        <v>0</v>
      </c>
      <c r="T4" s="2"/>
    </row>
    <row r="5" customFormat="false" ht="15" hidden="false" customHeight="false" outlineLevel="0" collapsed="false">
      <c r="A5" s="2" t="s">
        <v>51</v>
      </c>
      <c r="B5" s="3" t="n">
        <v>45750</v>
      </c>
      <c r="C5" s="3" t="n">
        <v>45750</v>
      </c>
      <c r="D5" s="2" t="s">
        <v>21</v>
      </c>
      <c r="E5" s="4" t="s">
        <v>52</v>
      </c>
      <c r="F5" s="5" t="n">
        <v>123000</v>
      </c>
      <c r="G5" s="6" t="n">
        <f aca="false">G4+IF(E5="Credit",F5,IF(E5="Debit",-F5,0))</f>
        <v>7521150</v>
      </c>
      <c r="H5" s="4" t="s">
        <v>53</v>
      </c>
      <c r="I5" s="2" t="s">
        <v>54</v>
      </c>
      <c r="J5" s="2" t="s">
        <v>55</v>
      </c>
      <c r="K5" s="4" t="s">
        <v>56</v>
      </c>
      <c r="L5" s="2" t="s">
        <v>57</v>
      </c>
      <c r="M5" s="4" t="s">
        <v>58</v>
      </c>
      <c r="N5" s="2" t="s">
        <v>59</v>
      </c>
      <c r="O5" s="2" t="s">
        <v>60</v>
      </c>
      <c r="P5" s="2" t="s">
        <v>61</v>
      </c>
      <c r="Q5" s="2"/>
      <c r="R5" s="4" t="s">
        <v>30</v>
      </c>
      <c r="S5" s="5" t="n">
        <v>0</v>
      </c>
      <c r="T5" s="2" t="s">
        <v>62</v>
      </c>
    </row>
    <row r="6" customFormat="false" ht="15" hidden="false" customHeight="false" outlineLevel="0" collapsed="false">
      <c r="A6" s="2" t="s">
        <v>63</v>
      </c>
      <c r="B6" s="3" t="n">
        <v>45752</v>
      </c>
      <c r="C6" s="3" t="n">
        <v>45752</v>
      </c>
      <c r="D6" s="2" t="s">
        <v>21</v>
      </c>
      <c r="E6" s="4" t="s">
        <v>33</v>
      </c>
      <c r="F6" s="5" t="n">
        <v>145000</v>
      </c>
      <c r="G6" s="6" t="n">
        <f aca="false">G5+IF(E6="Credit",F6,IF(E6="Debit",-F6,0))</f>
        <v>7376150</v>
      </c>
      <c r="H6" s="4" t="s">
        <v>64</v>
      </c>
      <c r="I6" s="2" t="s">
        <v>65</v>
      </c>
      <c r="J6" s="2" t="s">
        <v>66</v>
      </c>
      <c r="K6" s="4" t="s">
        <v>67</v>
      </c>
      <c r="L6" s="2" t="s">
        <v>68</v>
      </c>
      <c r="M6" s="4" t="s">
        <v>69</v>
      </c>
      <c r="N6" s="2" t="s">
        <v>70</v>
      </c>
      <c r="O6" s="2" t="s">
        <v>71</v>
      </c>
      <c r="P6" s="2" t="s">
        <v>72</v>
      </c>
      <c r="Q6" s="2"/>
      <c r="R6" s="4" t="s">
        <v>30</v>
      </c>
      <c r="S6" s="5" t="n">
        <v>0</v>
      </c>
      <c r="T6" s="2"/>
    </row>
    <row r="7" customFormat="false" ht="15" hidden="false" customHeight="false" outlineLevel="0" collapsed="false">
      <c r="A7" s="2" t="s">
        <v>73</v>
      </c>
      <c r="B7" s="3" t="n">
        <v>45754</v>
      </c>
      <c r="C7" s="3" t="n">
        <v>45754</v>
      </c>
      <c r="D7" s="2" t="s">
        <v>21</v>
      </c>
      <c r="E7" s="4" t="s">
        <v>52</v>
      </c>
      <c r="F7" s="5" t="n">
        <v>114460</v>
      </c>
      <c r="G7" s="6" t="n">
        <f aca="false">G6+IF(E7="Credit",F7,IF(E7="Debit",-F7,0))</f>
        <v>7490610</v>
      </c>
      <c r="H7" s="4" t="s">
        <v>74</v>
      </c>
      <c r="I7" s="2" t="s">
        <v>75</v>
      </c>
      <c r="J7" s="2" t="s">
        <v>76</v>
      </c>
      <c r="K7" s="4" t="s">
        <v>77</v>
      </c>
      <c r="L7" s="2" t="s">
        <v>78</v>
      </c>
      <c r="M7" s="4" t="s">
        <v>58</v>
      </c>
      <c r="N7" s="2" t="s">
        <v>79</v>
      </c>
      <c r="O7" s="2" t="s">
        <v>60</v>
      </c>
      <c r="P7" s="2" t="s">
        <v>80</v>
      </c>
      <c r="Q7" s="2" t="s">
        <v>81</v>
      </c>
      <c r="R7" s="4" t="s">
        <v>30</v>
      </c>
      <c r="S7" s="5" t="n">
        <v>17460</v>
      </c>
      <c r="T7" s="2"/>
    </row>
    <row r="8" customFormat="false" ht="15" hidden="false" customHeight="false" outlineLevel="0" collapsed="false">
      <c r="A8" s="2" t="s">
        <v>82</v>
      </c>
      <c r="B8" s="3" t="n">
        <v>45754</v>
      </c>
      <c r="C8" s="3" t="n">
        <v>45754</v>
      </c>
      <c r="D8" s="2" t="s">
        <v>21</v>
      </c>
      <c r="E8" s="4" t="s">
        <v>33</v>
      </c>
      <c r="F8" s="5" t="n">
        <v>12000</v>
      </c>
      <c r="G8" s="6" t="n">
        <f aca="false">G7+IF(E8="Credit",F8,IF(E8="Debit",-F8,0))</f>
        <v>7478610</v>
      </c>
      <c r="H8" s="4" t="s">
        <v>64</v>
      </c>
      <c r="I8" s="2" t="s">
        <v>83</v>
      </c>
      <c r="J8" s="2" t="s">
        <v>84</v>
      </c>
      <c r="K8" s="4" t="s">
        <v>85</v>
      </c>
      <c r="L8" s="2" t="s">
        <v>86</v>
      </c>
      <c r="M8" s="4" t="s">
        <v>38</v>
      </c>
      <c r="N8" s="2" t="s">
        <v>87</v>
      </c>
      <c r="O8" s="2" t="s">
        <v>88</v>
      </c>
      <c r="P8" s="2" t="s">
        <v>89</v>
      </c>
      <c r="Q8" s="2"/>
      <c r="R8" s="4" t="s">
        <v>30</v>
      </c>
      <c r="S8" s="5" t="n">
        <v>0</v>
      </c>
      <c r="T8" s="2"/>
    </row>
    <row r="9" customFormat="false" ht="15" hidden="false" customHeight="false" outlineLevel="0" collapsed="false">
      <c r="A9" s="2" t="s">
        <v>90</v>
      </c>
      <c r="B9" s="3" t="n">
        <v>45754</v>
      </c>
      <c r="C9" s="3" t="n">
        <v>45754</v>
      </c>
      <c r="D9" s="2" t="s">
        <v>21</v>
      </c>
      <c r="E9" s="4" t="s">
        <v>33</v>
      </c>
      <c r="F9" s="5" t="n">
        <v>3350</v>
      </c>
      <c r="G9" s="6" t="n">
        <f aca="false">G8+IF(E9="Credit",F9,IF(E9="Debit",-F9,0))</f>
        <v>7475260</v>
      </c>
      <c r="H9" s="4" t="s">
        <v>34</v>
      </c>
      <c r="I9" s="2" t="s">
        <v>35</v>
      </c>
      <c r="J9" s="2" t="s">
        <v>35</v>
      </c>
      <c r="K9" s="4" t="s">
        <v>36</v>
      </c>
      <c r="L9" s="2" t="s">
        <v>37</v>
      </c>
      <c r="M9" s="4" t="s">
        <v>38</v>
      </c>
      <c r="N9" s="2" t="s">
        <v>91</v>
      </c>
      <c r="O9" s="2" t="s">
        <v>40</v>
      </c>
      <c r="P9" s="2" t="s">
        <v>41</v>
      </c>
      <c r="Q9" s="2"/>
      <c r="R9" s="4" t="s">
        <v>30</v>
      </c>
      <c r="S9" s="5" t="n">
        <v>0</v>
      </c>
      <c r="T9" s="2"/>
    </row>
    <row r="10" customFormat="false" ht="15" hidden="false" customHeight="false" outlineLevel="0" collapsed="false">
      <c r="A10" s="2" t="s">
        <v>92</v>
      </c>
      <c r="B10" s="3" t="n">
        <v>45755</v>
      </c>
      <c r="C10" s="3" t="n">
        <v>45755</v>
      </c>
      <c r="D10" s="2" t="s">
        <v>21</v>
      </c>
      <c r="E10" s="4" t="s">
        <v>33</v>
      </c>
      <c r="F10" s="5" t="n">
        <v>700</v>
      </c>
      <c r="G10" s="6" t="n">
        <f aca="false">G9+IF(E10="Credit",F10,IF(E10="Debit",-F10,0))</f>
        <v>7474560</v>
      </c>
      <c r="H10" s="4" t="s">
        <v>53</v>
      </c>
      <c r="I10" s="2" t="s">
        <v>93</v>
      </c>
      <c r="J10" s="2" t="s">
        <v>94</v>
      </c>
      <c r="K10" s="4" t="s">
        <v>67</v>
      </c>
      <c r="L10" s="2" t="s">
        <v>68</v>
      </c>
      <c r="M10" s="4" t="s">
        <v>69</v>
      </c>
      <c r="N10" s="2" t="s">
        <v>95</v>
      </c>
      <c r="O10" s="2" t="s">
        <v>96</v>
      </c>
      <c r="P10" s="2" t="s">
        <v>97</v>
      </c>
      <c r="Q10" s="2"/>
      <c r="R10" s="4" t="s">
        <v>30</v>
      </c>
      <c r="S10" s="5" t="n">
        <v>0</v>
      </c>
      <c r="T10" s="2"/>
    </row>
    <row r="11" customFormat="false" ht="15" hidden="false" customHeight="false" outlineLevel="0" collapsed="false">
      <c r="A11" s="2" t="s">
        <v>98</v>
      </c>
      <c r="B11" s="3" t="n">
        <v>45756</v>
      </c>
      <c r="C11" s="3" t="n">
        <v>45756</v>
      </c>
      <c r="D11" s="2" t="s">
        <v>21</v>
      </c>
      <c r="E11" s="4" t="s">
        <v>33</v>
      </c>
      <c r="F11" s="5" t="n">
        <v>22500</v>
      </c>
      <c r="G11" s="6" t="n">
        <f aca="false">G10+IF(E11="Credit",F11,IF(E11="Debit",-F11,0))</f>
        <v>7452060</v>
      </c>
      <c r="H11" s="4" t="s">
        <v>99</v>
      </c>
      <c r="I11" s="2" t="s">
        <v>100</v>
      </c>
      <c r="J11" s="2" t="s">
        <v>101</v>
      </c>
      <c r="K11" s="4" t="s">
        <v>102</v>
      </c>
      <c r="L11" s="2" t="s">
        <v>103</v>
      </c>
      <c r="M11" s="4" t="s">
        <v>38</v>
      </c>
      <c r="N11" s="2" t="s">
        <v>104</v>
      </c>
      <c r="O11" s="2" t="s">
        <v>105</v>
      </c>
      <c r="P11" s="2" t="s">
        <v>106</v>
      </c>
      <c r="Q11" s="2"/>
      <c r="R11" s="4" t="s">
        <v>30</v>
      </c>
      <c r="S11" s="5" t="n">
        <v>0</v>
      </c>
      <c r="T11" s="2"/>
    </row>
    <row r="12" customFormat="false" ht="15" hidden="false" customHeight="false" outlineLevel="0" collapsed="false">
      <c r="A12" s="2" t="s">
        <v>107</v>
      </c>
      <c r="B12" s="3" t="n">
        <v>45757</v>
      </c>
      <c r="C12" s="3" t="n">
        <v>45757</v>
      </c>
      <c r="D12" s="2" t="s">
        <v>21</v>
      </c>
      <c r="E12" s="4" t="s">
        <v>33</v>
      </c>
      <c r="F12" s="5" t="n">
        <v>11900</v>
      </c>
      <c r="G12" s="6" t="n">
        <f aca="false">G11+IF(E12="Credit",F12,IF(E12="Debit",-F12,0))</f>
        <v>7440160</v>
      </c>
      <c r="H12" s="4" t="s">
        <v>99</v>
      </c>
      <c r="I12" s="2" t="s">
        <v>108</v>
      </c>
      <c r="J12" s="2" t="s">
        <v>109</v>
      </c>
      <c r="K12" s="4" t="s">
        <v>77</v>
      </c>
      <c r="L12" s="2" t="s">
        <v>78</v>
      </c>
      <c r="M12" s="4" t="s">
        <v>58</v>
      </c>
      <c r="N12" s="2" t="s">
        <v>110</v>
      </c>
      <c r="O12" s="2" t="s">
        <v>111</v>
      </c>
      <c r="P12" s="2" t="s">
        <v>112</v>
      </c>
      <c r="Q12" s="2" t="s">
        <v>81</v>
      </c>
      <c r="R12" s="4" t="s">
        <v>30</v>
      </c>
      <c r="S12" s="5" t="n">
        <v>0</v>
      </c>
      <c r="T12" s="2" t="s">
        <v>113</v>
      </c>
    </row>
    <row r="13" customFormat="false" ht="15" hidden="false" customHeight="false" outlineLevel="0" collapsed="false">
      <c r="A13" s="2" t="s">
        <v>114</v>
      </c>
      <c r="B13" s="3" t="n">
        <v>45757</v>
      </c>
      <c r="C13" s="3" t="n">
        <v>45757</v>
      </c>
      <c r="D13" s="2" t="s">
        <v>21</v>
      </c>
      <c r="E13" s="4" t="s">
        <v>33</v>
      </c>
      <c r="F13" s="5" t="n">
        <v>70000</v>
      </c>
      <c r="G13" s="6" t="n">
        <f aca="false">G12+IF(E13="Credit",F13,IF(E13="Debit",-F13,0))</f>
        <v>7370160</v>
      </c>
      <c r="H13" s="4" t="s">
        <v>115</v>
      </c>
      <c r="I13" s="2" t="s">
        <v>116</v>
      </c>
      <c r="J13" s="2" t="s">
        <v>117</v>
      </c>
      <c r="K13" s="4" t="s">
        <v>118</v>
      </c>
      <c r="L13" s="2" t="s">
        <v>119</v>
      </c>
      <c r="M13" s="4" t="s">
        <v>38</v>
      </c>
      <c r="N13" s="2" t="s">
        <v>120</v>
      </c>
      <c r="O13" s="2" t="s">
        <v>121</v>
      </c>
      <c r="P13" s="2" t="s">
        <v>122</v>
      </c>
      <c r="Q13" s="2"/>
      <c r="R13" s="4" t="s">
        <v>30</v>
      </c>
      <c r="S13" s="5" t="n">
        <v>0</v>
      </c>
      <c r="T13" s="2"/>
    </row>
    <row r="14" customFormat="false" ht="15" hidden="false" customHeight="false" outlineLevel="0" collapsed="false">
      <c r="A14" s="2" t="s">
        <v>123</v>
      </c>
      <c r="B14" s="3" t="n">
        <v>45757</v>
      </c>
      <c r="C14" s="3" t="n">
        <v>45757</v>
      </c>
      <c r="D14" s="2" t="s">
        <v>21</v>
      </c>
      <c r="E14" s="4" t="s">
        <v>33</v>
      </c>
      <c r="F14" s="5" t="n">
        <v>33700</v>
      </c>
      <c r="G14" s="6" t="n">
        <f aca="false">G13+IF(E14="Credit",F14,IF(E14="Debit",-F14,0))</f>
        <v>7336460</v>
      </c>
      <c r="H14" s="4" t="s">
        <v>34</v>
      </c>
      <c r="I14" s="2" t="s">
        <v>124</v>
      </c>
      <c r="J14" s="2" t="s">
        <v>125</v>
      </c>
      <c r="K14" s="4" t="s">
        <v>126</v>
      </c>
      <c r="L14" s="2" t="s">
        <v>127</v>
      </c>
      <c r="M14" s="4" t="s">
        <v>38</v>
      </c>
      <c r="N14" s="2" t="s">
        <v>128</v>
      </c>
      <c r="O14" s="2" t="s">
        <v>129</v>
      </c>
      <c r="P14" s="2" t="s">
        <v>130</v>
      </c>
      <c r="Q14" s="2"/>
      <c r="R14" s="4" t="s">
        <v>30</v>
      </c>
      <c r="S14" s="5" t="n">
        <v>0</v>
      </c>
      <c r="T14" s="2"/>
    </row>
    <row r="15" customFormat="false" ht="15" hidden="false" customHeight="false" outlineLevel="0" collapsed="false">
      <c r="A15" s="2" t="s">
        <v>131</v>
      </c>
      <c r="B15" s="3" t="n">
        <v>45759</v>
      </c>
      <c r="C15" s="3" t="n">
        <v>45759</v>
      </c>
      <c r="D15" s="2" t="s">
        <v>21</v>
      </c>
      <c r="E15" s="4" t="s">
        <v>33</v>
      </c>
      <c r="F15" s="5" t="n">
        <v>9800</v>
      </c>
      <c r="G15" s="6" t="n">
        <f aca="false">G14+IF(E15="Credit",F15,IF(E15="Debit",-F15,0))</f>
        <v>7326660</v>
      </c>
      <c r="H15" s="4" t="s">
        <v>34</v>
      </c>
      <c r="I15" s="2" t="s">
        <v>132</v>
      </c>
      <c r="J15" s="2" t="s">
        <v>132</v>
      </c>
      <c r="K15" s="4" t="s">
        <v>133</v>
      </c>
      <c r="L15" s="2" t="s">
        <v>134</v>
      </c>
      <c r="M15" s="4" t="s">
        <v>38</v>
      </c>
      <c r="N15" s="2" t="s">
        <v>135</v>
      </c>
      <c r="O15" s="2" t="s">
        <v>136</v>
      </c>
      <c r="P15" s="2" t="s">
        <v>137</v>
      </c>
      <c r="Q15" s="2"/>
      <c r="R15" s="4" t="s">
        <v>30</v>
      </c>
      <c r="S15" s="5" t="n">
        <v>0</v>
      </c>
      <c r="T15" s="2"/>
    </row>
    <row r="16" customFormat="false" ht="15" hidden="false" customHeight="false" outlineLevel="0" collapsed="false">
      <c r="A16" s="2" t="s">
        <v>138</v>
      </c>
      <c r="B16" s="3" t="n">
        <v>45761</v>
      </c>
      <c r="C16" s="3" t="n">
        <v>45761</v>
      </c>
      <c r="D16" s="2" t="s">
        <v>21</v>
      </c>
      <c r="E16" s="4" t="s">
        <v>33</v>
      </c>
      <c r="F16" s="5" t="n">
        <v>38200</v>
      </c>
      <c r="G16" s="6" t="n">
        <f aca="false">G15+IF(E16="Credit",F16,IF(E16="Debit",-F16,0))</f>
        <v>7288460</v>
      </c>
      <c r="H16" s="4" t="s">
        <v>99</v>
      </c>
      <c r="I16" s="2" t="s">
        <v>139</v>
      </c>
      <c r="J16" s="2" t="s">
        <v>140</v>
      </c>
      <c r="K16" s="4" t="s">
        <v>141</v>
      </c>
      <c r="L16" s="2" t="s">
        <v>142</v>
      </c>
      <c r="M16" s="4" t="s">
        <v>143</v>
      </c>
      <c r="N16" s="2" t="s">
        <v>144</v>
      </c>
      <c r="O16" s="2" t="s">
        <v>145</v>
      </c>
      <c r="P16" s="2" t="s">
        <v>146</v>
      </c>
      <c r="Q16" s="2"/>
      <c r="R16" s="4" t="s">
        <v>30</v>
      </c>
      <c r="S16" s="5" t="n">
        <v>0</v>
      </c>
      <c r="T16" s="2"/>
    </row>
    <row r="17" customFormat="false" ht="15" hidden="false" customHeight="false" outlineLevel="0" collapsed="false">
      <c r="A17" s="2" t="s">
        <v>147</v>
      </c>
      <c r="B17" s="3" t="n">
        <v>45762</v>
      </c>
      <c r="C17" s="3" t="n">
        <v>45762</v>
      </c>
      <c r="D17" s="2" t="s">
        <v>21</v>
      </c>
      <c r="E17" s="4" t="s">
        <v>33</v>
      </c>
      <c r="F17" s="5" t="n">
        <v>34160</v>
      </c>
      <c r="G17" s="6" t="n">
        <f aca="false">G16+IF(E17="Credit",F17,IF(E17="Debit",-F17,0))</f>
        <v>7254300</v>
      </c>
      <c r="H17" s="4" t="s">
        <v>64</v>
      </c>
      <c r="I17" s="2" t="s">
        <v>148</v>
      </c>
      <c r="J17" s="2" t="s">
        <v>149</v>
      </c>
      <c r="K17" s="4" t="s">
        <v>150</v>
      </c>
      <c r="L17" s="2" t="s">
        <v>151</v>
      </c>
      <c r="M17" s="4" t="s">
        <v>38</v>
      </c>
      <c r="N17" s="2" t="s">
        <v>152</v>
      </c>
      <c r="O17" s="2" t="s">
        <v>88</v>
      </c>
      <c r="P17" s="2" t="s">
        <v>153</v>
      </c>
      <c r="Q17" s="2"/>
      <c r="R17" s="4" t="s">
        <v>30</v>
      </c>
      <c r="S17" s="5" t="n">
        <v>0</v>
      </c>
      <c r="T17" s="2"/>
    </row>
    <row r="18" customFormat="false" ht="15" hidden="false" customHeight="false" outlineLevel="0" collapsed="false">
      <c r="A18" s="2" t="s">
        <v>154</v>
      </c>
      <c r="B18" s="3" t="n">
        <v>45763</v>
      </c>
      <c r="C18" s="3" t="n">
        <v>45763</v>
      </c>
      <c r="D18" s="2" t="s">
        <v>21</v>
      </c>
      <c r="E18" s="4" t="s">
        <v>33</v>
      </c>
      <c r="F18" s="5" t="n">
        <v>28320</v>
      </c>
      <c r="G18" s="6" t="n">
        <f aca="false">G17+IF(E18="Credit",F18,IF(E18="Debit",-F18,0))</f>
        <v>7225980</v>
      </c>
      <c r="H18" s="4" t="s">
        <v>99</v>
      </c>
      <c r="I18" s="2" t="s">
        <v>155</v>
      </c>
      <c r="J18" s="2" t="s">
        <v>156</v>
      </c>
      <c r="K18" s="4" t="s">
        <v>157</v>
      </c>
      <c r="L18" s="2" t="s">
        <v>158</v>
      </c>
      <c r="M18" s="4" t="s">
        <v>38</v>
      </c>
      <c r="N18" s="2" t="s">
        <v>159</v>
      </c>
      <c r="O18" s="2" t="s">
        <v>160</v>
      </c>
      <c r="P18" s="2" t="s">
        <v>161</v>
      </c>
      <c r="Q18" s="2" t="s">
        <v>162</v>
      </c>
      <c r="R18" s="4" t="s">
        <v>30</v>
      </c>
      <c r="S18" s="5" t="n">
        <v>4320</v>
      </c>
      <c r="T18" s="2"/>
    </row>
    <row r="19" customFormat="false" ht="15" hidden="false" customHeight="false" outlineLevel="0" collapsed="false">
      <c r="A19" s="2" t="s">
        <v>163</v>
      </c>
      <c r="B19" s="3" t="n">
        <v>45765</v>
      </c>
      <c r="C19" s="3" t="n">
        <v>45765</v>
      </c>
      <c r="D19" s="2" t="s">
        <v>21</v>
      </c>
      <c r="E19" s="4" t="s">
        <v>33</v>
      </c>
      <c r="F19" s="5" t="n">
        <v>59400</v>
      </c>
      <c r="G19" s="6" t="n">
        <f aca="false">G18+IF(E19="Credit",F19,IF(E19="Debit",-F19,0))</f>
        <v>7166580</v>
      </c>
      <c r="H19" s="4" t="s">
        <v>74</v>
      </c>
      <c r="I19" s="2" t="s">
        <v>164</v>
      </c>
      <c r="J19" s="2" t="s">
        <v>164</v>
      </c>
      <c r="K19" s="4" t="s">
        <v>165</v>
      </c>
      <c r="L19" s="2" t="s">
        <v>166</v>
      </c>
      <c r="M19" s="4" t="s">
        <v>167</v>
      </c>
      <c r="N19" s="2" t="s">
        <v>168</v>
      </c>
      <c r="O19" s="2" t="s">
        <v>169</v>
      </c>
      <c r="P19" s="2" t="s">
        <v>170</v>
      </c>
      <c r="Q19" s="2"/>
      <c r="R19" s="4" t="s">
        <v>30</v>
      </c>
      <c r="S19" s="5" t="n">
        <v>0</v>
      </c>
      <c r="T19" s="2"/>
    </row>
    <row r="20" customFormat="false" ht="15" hidden="false" customHeight="false" outlineLevel="0" collapsed="false">
      <c r="A20" s="2" t="s">
        <v>171</v>
      </c>
      <c r="B20" s="3" t="n">
        <v>45767</v>
      </c>
      <c r="C20" s="3" t="n">
        <v>45767</v>
      </c>
      <c r="D20" s="2" t="s">
        <v>21</v>
      </c>
      <c r="E20" s="4" t="s">
        <v>33</v>
      </c>
      <c r="F20" s="5" t="n">
        <v>171400</v>
      </c>
      <c r="G20" s="6" t="n">
        <f aca="false">G19+IF(E20="Credit",F20,IF(E20="Debit",-F20,0))</f>
        <v>6995180</v>
      </c>
      <c r="H20" s="4" t="s">
        <v>99</v>
      </c>
      <c r="I20" s="2" t="s">
        <v>172</v>
      </c>
      <c r="J20" s="2" t="s">
        <v>173</v>
      </c>
      <c r="K20" s="4" t="s">
        <v>174</v>
      </c>
      <c r="L20" s="2" t="s">
        <v>175</v>
      </c>
      <c r="M20" s="4" t="s">
        <v>143</v>
      </c>
      <c r="N20" s="2" t="s">
        <v>176</v>
      </c>
      <c r="O20" s="2" t="s">
        <v>177</v>
      </c>
      <c r="P20" s="2" t="s">
        <v>178</v>
      </c>
      <c r="Q20" s="2"/>
      <c r="R20" s="4" t="s">
        <v>30</v>
      </c>
      <c r="S20" s="5" t="n">
        <v>0</v>
      </c>
      <c r="T20" s="2"/>
    </row>
    <row r="21" customFormat="false" ht="15" hidden="false" customHeight="false" outlineLevel="0" collapsed="false">
      <c r="A21" s="2" t="s">
        <v>179</v>
      </c>
      <c r="B21" s="3" t="n">
        <v>45768</v>
      </c>
      <c r="C21" s="3" t="n">
        <v>45768</v>
      </c>
      <c r="D21" s="2" t="s">
        <v>21</v>
      </c>
      <c r="E21" s="4" t="s">
        <v>33</v>
      </c>
      <c r="F21" s="5" t="n">
        <v>18500</v>
      </c>
      <c r="G21" s="6" t="n">
        <f aca="false">G20+IF(E21="Credit",F21,IF(E21="Debit",-F21,0))</f>
        <v>6976680</v>
      </c>
      <c r="H21" s="4" t="s">
        <v>180</v>
      </c>
      <c r="I21" s="2" t="s">
        <v>181</v>
      </c>
      <c r="J21" s="2" t="s">
        <v>182</v>
      </c>
      <c r="K21" s="4" t="s">
        <v>183</v>
      </c>
      <c r="L21" s="2" t="s">
        <v>184</v>
      </c>
      <c r="M21" s="4" t="s">
        <v>167</v>
      </c>
      <c r="N21" s="2" t="s">
        <v>185</v>
      </c>
      <c r="O21" s="2" t="s">
        <v>160</v>
      </c>
      <c r="P21" s="2" t="s">
        <v>186</v>
      </c>
      <c r="Q21" s="2" t="s">
        <v>187</v>
      </c>
      <c r="R21" s="4" t="s">
        <v>30</v>
      </c>
      <c r="S21" s="5" t="n">
        <v>2822</v>
      </c>
      <c r="T21" s="2" t="s">
        <v>188</v>
      </c>
    </row>
    <row r="22" customFormat="false" ht="15" hidden="false" customHeight="false" outlineLevel="0" collapsed="false">
      <c r="A22" s="2" t="s">
        <v>189</v>
      </c>
      <c r="B22" s="3" t="n">
        <v>45769</v>
      </c>
      <c r="C22" s="3" t="n">
        <v>45769</v>
      </c>
      <c r="D22" s="2" t="s">
        <v>21</v>
      </c>
      <c r="E22" s="4" t="s">
        <v>52</v>
      </c>
      <c r="F22" s="5" t="n">
        <v>86912</v>
      </c>
      <c r="G22" s="6" t="n">
        <f aca="false">G21+IF(E22="Credit",F22,IF(E22="Debit",-F22,0))</f>
        <v>7063592</v>
      </c>
      <c r="H22" s="4" t="s">
        <v>99</v>
      </c>
      <c r="I22" s="2" t="s">
        <v>190</v>
      </c>
      <c r="J22" s="2" t="s">
        <v>191</v>
      </c>
      <c r="K22" s="4" t="s">
        <v>192</v>
      </c>
      <c r="L22" s="2" t="s">
        <v>193</v>
      </c>
      <c r="M22" s="4" t="s">
        <v>58</v>
      </c>
      <c r="N22" s="2" t="s">
        <v>194</v>
      </c>
      <c r="O22" s="2" t="s">
        <v>60</v>
      </c>
      <c r="P22" s="2" t="s">
        <v>195</v>
      </c>
      <c r="Q22" s="2" t="s">
        <v>196</v>
      </c>
      <c r="R22" s="4" t="s">
        <v>30</v>
      </c>
      <c r="S22" s="5" t="n">
        <v>9312</v>
      </c>
      <c r="T22" s="2" t="s">
        <v>197</v>
      </c>
    </row>
    <row r="23" customFormat="false" ht="15" hidden="false" customHeight="false" outlineLevel="0" collapsed="false">
      <c r="A23" s="2" t="s">
        <v>198</v>
      </c>
      <c r="B23" s="3" t="n">
        <v>45769</v>
      </c>
      <c r="C23" s="3" t="n">
        <v>45769</v>
      </c>
      <c r="D23" s="2" t="s">
        <v>21</v>
      </c>
      <c r="E23" s="4" t="s">
        <v>52</v>
      </c>
      <c r="F23" s="5" t="n">
        <v>286150</v>
      </c>
      <c r="G23" s="6" t="n">
        <f aca="false">G22+IF(E23="Credit",F23,IF(E23="Debit",-F23,0))</f>
        <v>7349742</v>
      </c>
      <c r="H23" s="4" t="s">
        <v>180</v>
      </c>
      <c r="I23" s="2" t="s">
        <v>199</v>
      </c>
      <c r="J23" s="2" t="s">
        <v>200</v>
      </c>
      <c r="K23" s="4" t="s">
        <v>201</v>
      </c>
      <c r="L23" s="2" t="s">
        <v>202</v>
      </c>
      <c r="M23" s="4" t="s">
        <v>58</v>
      </c>
      <c r="N23" s="2" t="s">
        <v>203</v>
      </c>
      <c r="O23" s="2" t="s">
        <v>60</v>
      </c>
      <c r="P23" s="2" t="s">
        <v>204</v>
      </c>
      <c r="Q23" s="2" t="s">
        <v>205</v>
      </c>
      <c r="R23" s="4" t="s">
        <v>30</v>
      </c>
      <c r="S23" s="5" t="n">
        <v>43650</v>
      </c>
      <c r="T23" s="2"/>
    </row>
    <row r="24" customFormat="false" ht="15" hidden="false" customHeight="false" outlineLevel="0" collapsed="false">
      <c r="A24" s="2" t="s">
        <v>206</v>
      </c>
      <c r="B24" s="3" t="n">
        <v>45770</v>
      </c>
      <c r="C24" s="3" t="n">
        <v>45770</v>
      </c>
      <c r="D24" s="2" t="s">
        <v>21</v>
      </c>
      <c r="E24" s="4" t="s">
        <v>33</v>
      </c>
      <c r="F24" s="5" t="n">
        <v>490</v>
      </c>
      <c r="G24" s="6" t="n">
        <f aca="false">G23+IF(E24="Credit",F24,IF(E24="Debit",-F24,0))</f>
        <v>7349252</v>
      </c>
      <c r="H24" s="4" t="s">
        <v>53</v>
      </c>
      <c r="I24" s="2" t="s">
        <v>93</v>
      </c>
      <c r="J24" s="2" t="s">
        <v>94</v>
      </c>
      <c r="K24" s="4" t="s">
        <v>67</v>
      </c>
      <c r="L24" s="2" t="s">
        <v>68</v>
      </c>
      <c r="M24" s="4" t="s">
        <v>69</v>
      </c>
      <c r="N24" s="2" t="s">
        <v>207</v>
      </c>
      <c r="O24" s="2" t="s">
        <v>96</v>
      </c>
      <c r="P24" s="2" t="s">
        <v>97</v>
      </c>
      <c r="Q24" s="2"/>
      <c r="R24" s="4" t="s">
        <v>30</v>
      </c>
      <c r="S24" s="5" t="n">
        <v>0</v>
      </c>
      <c r="T24" s="2"/>
    </row>
    <row r="25" customFormat="false" ht="15" hidden="false" customHeight="false" outlineLevel="0" collapsed="false">
      <c r="A25" s="2" t="s">
        <v>208</v>
      </c>
      <c r="B25" s="3" t="n">
        <v>45771</v>
      </c>
      <c r="C25" s="3" t="n">
        <v>45771</v>
      </c>
      <c r="D25" s="2" t="s">
        <v>21</v>
      </c>
      <c r="E25" s="4" t="s">
        <v>52</v>
      </c>
      <c r="F25" s="5" t="n">
        <v>86912</v>
      </c>
      <c r="G25" s="6" t="n">
        <f aca="false">G24+IF(E25="Credit",F25,IF(E25="Debit",-F25,0))</f>
        <v>7436164</v>
      </c>
      <c r="H25" s="4" t="s">
        <v>180</v>
      </c>
      <c r="I25" s="2" t="s">
        <v>209</v>
      </c>
      <c r="J25" s="2" t="s">
        <v>210</v>
      </c>
      <c r="K25" s="4" t="s">
        <v>192</v>
      </c>
      <c r="L25" s="2" t="s">
        <v>193</v>
      </c>
      <c r="M25" s="4" t="s">
        <v>58</v>
      </c>
      <c r="N25" s="2" t="s">
        <v>211</v>
      </c>
      <c r="O25" s="2" t="s">
        <v>60</v>
      </c>
      <c r="P25" s="2" t="s">
        <v>195</v>
      </c>
      <c r="Q25" s="2" t="s">
        <v>196</v>
      </c>
      <c r="R25" s="4" t="s">
        <v>30</v>
      </c>
      <c r="S25" s="5" t="n">
        <v>9312</v>
      </c>
      <c r="T25" s="2" t="s">
        <v>212</v>
      </c>
    </row>
    <row r="26" customFormat="false" ht="15" hidden="false" customHeight="false" outlineLevel="0" collapsed="false">
      <c r="A26" s="2" t="s">
        <v>213</v>
      </c>
      <c r="B26" s="3" t="n">
        <v>45772</v>
      </c>
      <c r="C26" s="3" t="n">
        <v>45772</v>
      </c>
      <c r="D26" s="2" t="s">
        <v>21</v>
      </c>
      <c r="E26" s="4" t="s">
        <v>33</v>
      </c>
      <c r="F26" s="5" t="n">
        <v>1450</v>
      </c>
      <c r="G26" s="6" t="n">
        <f aca="false">G25+IF(E26="Credit",F26,IF(E26="Debit",-F26,0))</f>
        <v>7434714</v>
      </c>
      <c r="H26" s="4" t="s">
        <v>53</v>
      </c>
      <c r="I26" s="2" t="s">
        <v>214</v>
      </c>
      <c r="J26" s="2" t="s">
        <v>215</v>
      </c>
      <c r="K26" s="4" t="s">
        <v>67</v>
      </c>
      <c r="L26" s="2" t="s">
        <v>68</v>
      </c>
      <c r="M26" s="4" t="s">
        <v>69</v>
      </c>
      <c r="N26" s="2" t="s">
        <v>216</v>
      </c>
      <c r="O26" s="2" t="s">
        <v>96</v>
      </c>
      <c r="P26" s="2" t="s">
        <v>217</v>
      </c>
      <c r="Q26" s="2"/>
      <c r="R26" s="4" t="s">
        <v>30</v>
      </c>
      <c r="S26" s="5" t="n">
        <v>0</v>
      </c>
      <c r="T26" s="2"/>
    </row>
    <row r="27" customFormat="false" ht="15" hidden="false" customHeight="false" outlineLevel="0" collapsed="false">
      <c r="A27" s="2" t="s">
        <v>218</v>
      </c>
      <c r="B27" s="3" t="n">
        <v>45776</v>
      </c>
      <c r="C27" s="3" t="n">
        <v>45776</v>
      </c>
      <c r="D27" s="2" t="s">
        <v>21</v>
      </c>
      <c r="E27" s="4" t="s">
        <v>33</v>
      </c>
      <c r="F27" s="5" t="n">
        <v>66700</v>
      </c>
      <c r="G27" s="6" t="n">
        <f aca="false">G26+IF(E27="Credit",F27,IF(E27="Debit",-F27,0))</f>
        <v>7368014</v>
      </c>
      <c r="H27" s="4" t="s">
        <v>53</v>
      </c>
      <c r="I27" s="2" t="s">
        <v>219</v>
      </c>
      <c r="J27" s="2" t="s">
        <v>220</v>
      </c>
      <c r="K27" s="4" t="s">
        <v>221</v>
      </c>
      <c r="L27" s="2" t="s">
        <v>222</v>
      </c>
      <c r="M27" s="4" t="s">
        <v>223</v>
      </c>
      <c r="N27" s="2" t="s">
        <v>224</v>
      </c>
      <c r="O27" s="2" t="s">
        <v>225</v>
      </c>
      <c r="P27" s="2" t="s">
        <v>226</v>
      </c>
      <c r="Q27" s="2"/>
      <c r="R27" s="4" t="s">
        <v>30</v>
      </c>
      <c r="S27" s="5" t="n">
        <v>0</v>
      </c>
      <c r="T27" s="2"/>
    </row>
    <row r="28" customFormat="false" ht="15" hidden="false" customHeight="false" outlineLevel="0" collapsed="false">
      <c r="A28" s="2" t="s">
        <v>227</v>
      </c>
      <c r="B28" s="3" t="n">
        <v>45776</v>
      </c>
      <c r="C28" s="3" t="n">
        <v>45776</v>
      </c>
      <c r="D28" s="2" t="s">
        <v>21</v>
      </c>
      <c r="E28" s="4" t="s">
        <v>33</v>
      </c>
      <c r="F28" s="5" t="n">
        <v>92100</v>
      </c>
      <c r="G28" s="6" t="n">
        <f aca="false">G27+IF(E28="Credit",F28,IF(E28="Debit",-F28,0))</f>
        <v>7275914</v>
      </c>
      <c r="H28" s="4" t="s">
        <v>53</v>
      </c>
      <c r="I28" s="2" t="s">
        <v>228</v>
      </c>
      <c r="J28" s="2" t="s">
        <v>220</v>
      </c>
      <c r="K28" s="4" t="s">
        <v>229</v>
      </c>
      <c r="L28" s="2" t="s">
        <v>230</v>
      </c>
      <c r="M28" s="4" t="s">
        <v>223</v>
      </c>
      <c r="N28" s="2" t="s">
        <v>231</v>
      </c>
      <c r="O28" s="2" t="s">
        <v>225</v>
      </c>
      <c r="P28" s="2" t="s">
        <v>226</v>
      </c>
      <c r="Q28" s="2"/>
      <c r="R28" s="4" t="s">
        <v>30</v>
      </c>
      <c r="S28" s="5" t="n">
        <v>0</v>
      </c>
      <c r="T28" s="2"/>
    </row>
    <row r="29" customFormat="false" ht="15" hidden="false" customHeight="false" outlineLevel="0" collapsed="false">
      <c r="A29" s="2" t="s">
        <v>232</v>
      </c>
      <c r="B29" s="3" t="n">
        <v>45776</v>
      </c>
      <c r="C29" s="3" t="n">
        <v>45776</v>
      </c>
      <c r="D29" s="2" t="s">
        <v>21</v>
      </c>
      <c r="E29" s="4" t="s">
        <v>33</v>
      </c>
      <c r="F29" s="5" t="n">
        <v>118000</v>
      </c>
      <c r="G29" s="6" t="n">
        <f aca="false">G28+IF(E29="Credit",F29,IF(E29="Debit",-F29,0))</f>
        <v>7157914</v>
      </c>
      <c r="H29" s="4" t="s">
        <v>53</v>
      </c>
      <c r="I29" s="2" t="s">
        <v>233</v>
      </c>
      <c r="J29" s="2" t="s">
        <v>220</v>
      </c>
      <c r="K29" s="4" t="s">
        <v>234</v>
      </c>
      <c r="L29" s="2" t="s">
        <v>235</v>
      </c>
      <c r="M29" s="4" t="s">
        <v>223</v>
      </c>
      <c r="N29" s="2" t="s">
        <v>236</v>
      </c>
      <c r="O29" s="2" t="s">
        <v>225</v>
      </c>
      <c r="P29" s="2" t="s">
        <v>237</v>
      </c>
      <c r="Q29" s="2"/>
      <c r="R29" s="4" t="s">
        <v>30</v>
      </c>
      <c r="S29" s="5" t="n">
        <v>0</v>
      </c>
      <c r="T29" s="2"/>
    </row>
    <row r="30" customFormat="false" ht="15" hidden="false" customHeight="false" outlineLevel="0" collapsed="false">
      <c r="A30" s="2" t="s">
        <v>238</v>
      </c>
      <c r="B30" s="3" t="n">
        <v>45776</v>
      </c>
      <c r="C30" s="3" t="n">
        <v>45776</v>
      </c>
      <c r="D30" s="2" t="s">
        <v>21</v>
      </c>
      <c r="E30" s="4" t="s">
        <v>33</v>
      </c>
      <c r="F30" s="5" t="n">
        <v>71600</v>
      </c>
      <c r="G30" s="6" t="n">
        <f aca="false">G29+IF(E30="Credit",F30,IF(E30="Debit",-F30,0))</f>
        <v>7086314</v>
      </c>
      <c r="H30" s="4" t="s">
        <v>53</v>
      </c>
      <c r="I30" s="2" t="s">
        <v>239</v>
      </c>
      <c r="J30" s="2" t="s">
        <v>220</v>
      </c>
      <c r="K30" s="4" t="s">
        <v>240</v>
      </c>
      <c r="L30" s="2" t="s">
        <v>241</v>
      </c>
      <c r="M30" s="4" t="s">
        <v>223</v>
      </c>
      <c r="N30" s="2" t="s">
        <v>242</v>
      </c>
      <c r="O30" s="2" t="s">
        <v>225</v>
      </c>
      <c r="P30" s="2" t="s">
        <v>243</v>
      </c>
      <c r="Q30" s="2"/>
      <c r="R30" s="4" t="s">
        <v>30</v>
      </c>
      <c r="S30" s="5" t="n">
        <v>0</v>
      </c>
      <c r="T30" s="2"/>
    </row>
    <row r="31" customFormat="false" ht="15" hidden="false" customHeight="false" outlineLevel="0" collapsed="false">
      <c r="A31" s="2" t="s">
        <v>244</v>
      </c>
      <c r="B31" s="3" t="n">
        <v>45776</v>
      </c>
      <c r="C31" s="3" t="n">
        <v>45776</v>
      </c>
      <c r="D31" s="2" t="s">
        <v>21</v>
      </c>
      <c r="E31" s="4" t="s">
        <v>33</v>
      </c>
      <c r="F31" s="5" t="n">
        <v>94200</v>
      </c>
      <c r="G31" s="6" t="n">
        <f aca="false">G30+IF(E31="Credit",F31,IF(E31="Debit",-F31,0))</f>
        <v>6992114</v>
      </c>
      <c r="H31" s="4" t="s">
        <v>53</v>
      </c>
      <c r="I31" s="2" t="s">
        <v>245</v>
      </c>
      <c r="J31" s="2" t="s">
        <v>220</v>
      </c>
      <c r="K31" s="4" t="s">
        <v>246</v>
      </c>
      <c r="L31" s="2" t="s">
        <v>247</v>
      </c>
      <c r="M31" s="4" t="s">
        <v>223</v>
      </c>
      <c r="N31" s="2" t="s">
        <v>248</v>
      </c>
      <c r="O31" s="2" t="s">
        <v>225</v>
      </c>
      <c r="P31" s="2" t="s">
        <v>226</v>
      </c>
      <c r="Q31" s="2"/>
      <c r="R31" s="4" t="s">
        <v>30</v>
      </c>
      <c r="S31" s="5" t="n">
        <v>0</v>
      </c>
      <c r="T31" s="2"/>
    </row>
    <row r="32" customFormat="false" ht="15" hidden="false" customHeight="false" outlineLevel="0" collapsed="false">
      <c r="A32" s="2" t="s">
        <v>249</v>
      </c>
      <c r="B32" s="3" t="n">
        <v>45776</v>
      </c>
      <c r="C32" s="3" t="n">
        <v>45776</v>
      </c>
      <c r="D32" s="2" t="s">
        <v>21</v>
      </c>
      <c r="E32" s="4" t="s">
        <v>33</v>
      </c>
      <c r="F32" s="5" t="n">
        <v>62900</v>
      </c>
      <c r="G32" s="6" t="n">
        <f aca="false">G31+IF(E32="Credit",F32,IF(E32="Debit",-F32,0))</f>
        <v>6929214</v>
      </c>
      <c r="H32" s="4" t="s">
        <v>53</v>
      </c>
      <c r="I32" s="2" t="s">
        <v>250</v>
      </c>
      <c r="J32" s="2" t="s">
        <v>220</v>
      </c>
      <c r="K32" s="4" t="s">
        <v>251</v>
      </c>
      <c r="L32" s="2" t="s">
        <v>252</v>
      </c>
      <c r="M32" s="4" t="s">
        <v>223</v>
      </c>
      <c r="N32" s="2" t="s">
        <v>253</v>
      </c>
      <c r="O32" s="2" t="s">
        <v>225</v>
      </c>
      <c r="P32" s="2" t="s">
        <v>226</v>
      </c>
      <c r="Q32" s="2"/>
      <c r="R32" s="4" t="s">
        <v>30</v>
      </c>
      <c r="S32" s="5" t="n">
        <v>0</v>
      </c>
      <c r="T32" s="2"/>
    </row>
    <row r="33" customFormat="false" ht="15" hidden="false" customHeight="false" outlineLevel="0" collapsed="false">
      <c r="A33" s="2" t="s">
        <v>254</v>
      </c>
      <c r="B33" s="3" t="n">
        <v>45776</v>
      </c>
      <c r="C33" s="3" t="n">
        <v>45776</v>
      </c>
      <c r="D33" s="2" t="s">
        <v>21</v>
      </c>
      <c r="E33" s="4" t="s">
        <v>33</v>
      </c>
      <c r="F33" s="5" t="n">
        <v>76500</v>
      </c>
      <c r="G33" s="6" t="n">
        <f aca="false">G32+IF(E33="Credit",F33,IF(E33="Debit",-F33,0))</f>
        <v>6852714</v>
      </c>
      <c r="H33" s="4" t="s">
        <v>53</v>
      </c>
      <c r="I33" s="2" t="s">
        <v>255</v>
      </c>
      <c r="J33" s="2" t="s">
        <v>220</v>
      </c>
      <c r="K33" s="4" t="s">
        <v>256</v>
      </c>
      <c r="L33" s="2" t="s">
        <v>257</v>
      </c>
      <c r="M33" s="4" t="s">
        <v>223</v>
      </c>
      <c r="N33" s="2" t="s">
        <v>258</v>
      </c>
      <c r="O33" s="2" t="s">
        <v>225</v>
      </c>
      <c r="P33" s="2" t="s">
        <v>237</v>
      </c>
      <c r="Q33" s="2"/>
      <c r="R33" s="4" t="s">
        <v>30</v>
      </c>
      <c r="S33" s="5" t="n">
        <v>0</v>
      </c>
      <c r="T33" s="2"/>
    </row>
    <row r="34" customFormat="false" ht="15" hidden="false" customHeight="false" outlineLevel="0" collapsed="false">
      <c r="A34" s="2" t="s">
        <v>259</v>
      </c>
      <c r="B34" s="3" t="n">
        <v>45776</v>
      </c>
      <c r="C34" s="3" t="n">
        <v>45776</v>
      </c>
      <c r="D34" s="2" t="s">
        <v>21</v>
      </c>
      <c r="E34" s="4" t="s">
        <v>33</v>
      </c>
      <c r="F34" s="5" t="n">
        <v>85200</v>
      </c>
      <c r="G34" s="6" t="n">
        <f aca="false">G33+IF(E34="Credit",F34,IF(E34="Debit",-F34,0))</f>
        <v>6767514</v>
      </c>
      <c r="H34" s="4" t="s">
        <v>53</v>
      </c>
      <c r="I34" s="2" t="s">
        <v>260</v>
      </c>
      <c r="J34" s="2" t="s">
        <v>220</v>
      </c>
      <c r="K34" s="4" t="s">
        <v>261</v>
      </c>
      <c r="L34" s="2" t="s">
        <v>262</v>
      </c>
      <c r="M34" s="4" t="s">
        <v>223</v>
      </c>
      <c r="N34" s="2" t="s">
        <v>263</v>
      </c>
      <c r="O34" s="2" t="s">
        <v>225</v>
      </c>
      <c r="P34" s="2" t="s">
        <v>264</v>
      </c>
      <c r="Q34" s="2"/>
      <c r="R34" s="4" t="s">
        <v>30</v>
      </c>
      <c r="S34" s="5" t="n">
        <v>0</v>
      </c>
      <c r="T34" s="2"/>
    </row>
    <row r="35" customFormat="false" ht="15" hidden="false" customHeight="false" outlineLevel="0" collapsed="false">
      <c r="A35" s="2" t="s">
        <v>265</v>
      </c>
      <c r="B35" s="3" t="n">
        <v>45776</v>
      </c>
      <c r="C35" s="3" t="n">
        <v>45776</v>
      </c>
      <c r="D35" s="2" t="s">
        <v>21</v>
      </c>
      <c r="E35" s="4" t="s">
        <v>33</v>
      </c>
      <c r="F35" s="5" t="n">
        <v>58000</v>
      </c>
      <c r="G35" s="6" t="n">
        <f aca="false">G34+IF(E35="Credit",F35,IF(E35="Debit",-F35,0))</f>
        <v>6709514</v>
      </c>
      <c r="H35" s="4" t="s">
        <v>53</v>
      </c>
      <c r="I35" s="2" t="s">
        <v>266</v>
      </c>
      <c r="J35" s="2" t="s">
        <v>220</v>
      </c>
      <c r="K35" s="4" t="s">
        <v>267</v>
      </c>
      <c r="L35" s="2" t="s">
        <v>268</v>
      </c>
      <c r="M35" s="4" t="s">
        <v>223</v>
      </c>
      <c r="N35" s="2" t="s">
        <v>269</v>
      </c>
      <c r="O35" s="2" t="s">
        <v>225</v>
      </c>
      <c r="P35" s="2" t="s">
        <v>270</v>
      </c>
      <c r="Q35" s="2"/>
      <c r="R35" s="4" t="s">
        <v>30</v>
      </c>
      <c r="S35" s="5" t="n">
        <v>0</v>
      </c>
      <c r="T35" s="2"/>
    </row>
    <row r="36" customFormat="false" ht="15" hidden="false" customHeight="false" outlineLevel="0" collapsed="false">
      <c r="A36" s="2" t="s">
        <v>271</v>
      </c>
      <c r="B36" s="3" t="n">
        <v>45776</v>
      </c>
      <c r="C36" s="3" t="n">
        <v>45776</v>
      </c>
      <c r="D36" s="2" t="s">
        <v>21</v>
      </c>
      <c r="E36" s="4" t="s">
        <v>33</v>
      </c>
      <c r="F36" s="5" t="n">
        <v>81400</v>
      </c>
      <c r="G36" s="6" t="n">
        <f aca="false">G35+IF(E36="Credit",F36,IF(E36="Debit",-F36,0))</f>
        <v>6628114</v>
      </c>
      <c r="H36" s="4" t="s">
        <v>53</v>
      </c>
      <c r="I36" s="2" t="s">
        <v>272</v>
      </c>
      <c r="J36" s="2" t="s">
        <v>220</v>
      </c>
      <c r="K36" s="4" t="s">
        <v>273</v>
      </c>
      <c r="L36" s="2" t="s">
        <v>274</v>
      </c>
      <c r="M36" s="4" t="s">
        <v>223</v>
      </c>
      <c r="N36" s="2" t="s">
        <v>275</v>
      </c>
      <c r="O36" s="2" t="s">
        <v>225</v>
      </c>
      <c r="P36" s="2" t="s">
        <v>276</v>
      </c>
      <c r="Q36" s="2"/>
      <c r="R36" s="4" t="s">
        <v>30</v>
      </c>
      <c r="S36" s="5" t="n">
        <v>0</v>
      </c>
      <c r="T36" s="2"/>
    </row>
    <row r="37" customFormat="false" ht="15" hidden="false" customHeight="false" outlineLevel="0" collapsed="false">
      <c r="A37" s="2" t="s">
        <v>277</v>
      </c>
      <c r="B37" s="3" t="n">
        <v>45776</v>
      </c>
      <c r="C37" s="3" t="n">
        <v>45776</v>
      </c>
      <c r="D37" s="2" t="s">
        <v>21</v>
      </c>
      <c r="E37" s="4" t="s">
        <v>33</v>
      </c>
      <c r="F37" s="5" t="n">
        <v>135700</v>
      </c>
      <c r="G37" s="6" t="n">
        <f aca="false">G36+IF(E37="Credit",F37,IF(E37="Debit",-F37,0))</f>
        <v>6492414</v>
      </c>
      <c r="H37" s="4" t="s">
        <v>53</v>
      </c>
      <c r="I37" s="2" t="s">
        <v>278</v>
      </c>
      <c r="J37" s="2" t="s">
        <v>220</v>
      </c>
      <c r="K37" s="4" t="s">
        <v>279</v>
      </c>
      <c r="L37" s="2" t="s">
        <v>280</v>
      </c>
      <c r="M37" s="4" t="s">
        <v>223</v>
      </c>
      <c r="N37" s="2" t="s">
        <v>281</v>
      </c>
      <c r="O37" s="2" t="s">
        <v>225</v>
      </c>
      <c r="P37" s="2" t="s">
        <v>226</v>
      </c>
      <c r="Q37" s="2"/>
      <c r="R37" s="4" t="s">
        <v>30</v>
      </c>
      <c r="S37" s="5" t="n">
        <v>0</v>
      </c>
      <c r="T37" s="2"/>
    </row>
    <row r="38" customFormat="false" ht="15" hidden="false" customHeight="false" outlineLevel="0" collapsed="false">
      <c r="A38" s="2" t="s">
        <v>282</v>
      </c>
      <c r="B38" s="3" t="n">
        <v>45776</v>
      </c>
      <c r="C38" s="3" t="n">
        <v>45776</v>
      </c>
      <c r="D38" s="2" t="s">
        <v>21</v>
      </c>
      <c r="E38" s="4" t="s">
        <v>33</v>
      </c>
      <c r="F38" s="5" t="n">
        <v>55600</v>
      </c>
      <c r="G38" s="6" t="n">
        <f aca="false">G37+IF(E38="Credit",F38,IF(E38="Debit",-F38,0))</f>
        <v>6436814</v>
      </c>
      <c r="H38" s="4" t="s">
        <v>53</v>
      </c>
      <c r="I38" s="2" t="s">
        <v>283</v>
      </c>
      <c r="J38" s="2" t="s">
        <v>220</v>
      </c>
      <c r="K38" s="4" t="s">
        <v>284</v>
      </c>
      <c r="L38" s="2" t="s">
        <v>285</v>
      </c>
      <c r="M38" s="4" t="s">
        <v>223</v>
      </c>
      <c r="N38" s="2" t="s">
        <v>286</v>
      </c>
      <c r="O38" s="2" t="s">
        <v>225</v>
      </c>
      <c r="P38" s="2" t="s">
        <v>287</v>
      </c>
      <c r="Q38" s="2"/>
      <c r="R38" s="4" t="s">
        <v>30</v>
      </c>
      <c r="S38" s="5" t="n">
        <v>0</v>
      </c>
      <c r="T38" s="2"/>
    </row>
    <row r="39" customFormat="false" ht="15" hidden="false" customHeight="false" outlineLevel="0" collapsed="false">
      <c r="A39" s="2" t="s">
        <v>288</v>
      </c>
      <c r="B39" s="3" t="n">
        <v>45777</v>
      </c>
      <c r="C39" s="3" t="n">
        <v>45777</v>
      </c>
      <c r="D39" s="2" t="s">
        <v>21</v>
      </c>
      <c r="E39" s="4" t="s">
        <v>33</v>
      </c>
      <c r="F39" s="5" t="n">
        <v>7350</v>
      </c>
      <c r="G39" s="6" t="n">
        <f aca="false">G38+IF(E39="Credit",F39,IF(E39="Debit",-F39,0))</f>
        <v>6429464</v>
      </c>
      <c r="H39" s="4" t="s">
        <v>289</v>
      </c>
      <c r="I39" s="2" t="s">
        <v>290</v>
      </c>
      <c r="J39" s="2" t="s">
        <v>290</v>
      </c>
      <c r="K39" s="4" t="s">
        <v>36</v>
      </c>
      <c r="L39" s="2" t="s">
        <v>37</v>
      </c>
      <c r="M39" s="4" t="s">
        <v>38</v>
      </c>
      <c r="N39" s="2" t="s">
        <v>291</v>
      </c>
      <c r="O39" s="2" t="s">
        <v>40</v>
      </c>
      <c r="P39" s="2" t="s">
        <v>41</v>
      </c>
      <c r="Q39" s="2"/>
      <c r="R39" s="4" t="s">
        <v>30</v>
      </c>
      <c r="S39" s="5" t="n">
        <v>0</v>
      </c>
      <c r="T39" s="2"/>
    </row>
    <row r="40" customFormat="false" ht="15" hidden="false" customHeight="false" outlineLevel="0" collapsed="false">
      <c r="A40" s="2" t="s">
        <v>292</v>
      </c>
      <c r="B40" s="3" t="n">
        <v>45778</v>
      </c>
      <c r="C40" s="3" t="n">
        <v>45778</v>
      </c>
      <c r="D40" s="2" t="s">
        <v>21</v>
      </c>
      <c r="E40" s="4" t="s">
        <v>33</v>
      </c>
      <c r="F40" s="5" t="n">
        <v>41300</v>
      </c>
      <c r="G40" s="6" t="n">
        <f aca="false">G39+IF(E40="Credit",F40,IF(E40="Debit",-F40,0))</f>
        <v>6388164</v>
      </c>
      <c r="H40" s="4" t="s">
        <v>99</v>
      </c>
      <c r="I40" s="2" t="s">
        <v>293</v>
      </c>
      <c r="J40" s="2" t="s">
        <v>294</v>
      </c>
      <c r="K40" s="4" t="s">
        <v>295</v>
      </c>
      <c r="L40" s="2" t="s">
        <v>296</v>
      </c>
      <c r="M40" s="4" t="s">
        <v>167</v>
      </c>
      <c r="N40" s="2" t="s">
        <v>297</v>
      </c>
      <c r="O40" s="2" t="s">
        <v>160</v>
      </c>
      <c r="P40" s="2" t="s">
        <v>298</v>
      </c>
      <c r="Q40" s="2" t="s">
        <v>299</v>
      </c>
      <c r="R40" s="4" t="s">
        <v>30</v>
      </c>
      <c r="S40" s="5" t="n">
        <v>6300</v>
      </c>
      <c r="T40" s="2"/>
    </row>
    <row r="41" customFormat="false" ht="15" hidden="false" customHeight="false" outlineLevel="0" collapsed="false">
      <c r="A41" s="2" t="s">
        <v>300</v>
      </c>
      <c r="B41" s="3" t="n">
        <v>45780</v>
      </c>
      <c r="C41" s="3" t="n">
        <v>45780</v>
      </c>
      <c r="D41" s="2" t="s">
        <v>21</v>
      </c>
      <c r="E41" s="4" t="s">
        <v>33</v>
      </c>
      <c r="F41" s="5" t="n">
        <v>95000</v>
      </c>
      <c r="G41" s="6" t="n">
        <f aca="false">G40+IF(E41="Credit",F41,IF(E41="Debit",-F41,0))</f>
        <v>6293164</v>
      </c>
      <c r="H41" s="4" t="s">
        <v>43</v>
      </c>
      <c r="I41" s="2" t="s">
        <v>44</v>
      </c>
      <c r="J41" s="2" t="s">
        <v>301</v>
      </c>
      <c r="K41" s="4" t="s">
        <v>46</v>
      </c>
      <c r="L41" s="2" t="s">
        <v>47</v>
      </c>
      <c r="M41" s="4" t="s">
        <v>38</v>
      </c>
      <c r="N41" s="2" t="s">
        <v>302</v>
      </c>
      <c r="O41" s="2" t="s">
        <v>49</v>
      </c>
      <c r="P41" s="2" t="s">
        <v>50</v>
      </c>
      <c r="Q41" s="2"/>
      <c r="R41" s="4" t="s">
        <v>30</v>
      </c>
      <c r="S41" s="5" t="n">
        <v>0</v>
      </c>
      <c r="T41" s="2"/>
    </row>
    <row r="42" customFormat="false" ht="15" hidden="false" customHeight="false" outlineLevel="0" collapsed="false">
      <c r="A42" s="2" t="s">
        <v>303</v>
      </c>
      <c r="B42" s="3" t="n">
        <v>45782</v>
      </c>
      <c r="C42" s="3" t="n">
        <v>45782</v>
      </c>
      <c r="D42" s="2" t="s">
        <v>21</v>
      </c>
      <c r="E42" s="4" t="s">
        <v>33</v>
      </c>
      <c r="F42" s="5" t="n">
        <v>29500</v>
      </c>
      <c r="G42" s="6" t="n">
        <f aca="false">G41+IF(E42="Credit",F42,IF(E42="Debit",-F42,0))</f>
        <v>6263664</v>
      </c>
      <c r="H42" s="4" t="s">
        <v>180</v>
      </c>
      <c r="I42" s="2" t="s">
        <v>304</v>
      </c>
      <c r="J42" s="2" t="s">
        <v>305</v>
      </c>
      <c r="K42" s="4" t="s">
        <v>36</v>
      </c>
      <c r="L42" s="2" t="s">
        <v>37</v>
      </c>
      <c r="M42" s="4" t="s">
        <v>38</v>
      </c>
      <c r="N42" s="2" t="s">
        <v>306</v>
      </c>
      <c r="O42" s="2" t="s">
        <v>160</v>
      </c>
      <c r="P42" s="2" t="s">
        <v>307</v>
      </c>
      <c r="Q42" s="2" t="s">
        <v>308</v>
      </c>
      <c r="R42" s="4" t="s">
        <v>30</v>
      </c>
      <c r="S42" s="5" t="n">
        <v>4500</v>
      </c>
      <c r="T42" s="2"/>
    </row>
    <row r="43" customFormat="false" ht="15" hidden="false" customHeight="false" outlineLevel="0" collapsed="false">
      <c r="A43" s="2" t="s">
        <v>309</v>
      </c>
      <c r="B43" s="3" t="n">
        <v>45782</v>
      </c>
      <c r="C43" s="3" t="n">
        <v>45782</v>
      </c>
      <c r="D43" s="2" t="s">
        <v>21</v>
      </c>
      <c r="E43" s="4" t="s">
        <v>33</v>
      </c>
      <c r="F43" s="5" t="n">
        <v>145000</v>
      </c>
      <c r="G43" s="6" t="n">
        <f aca="false">G42+IF(E43="Credit",F43,IF(E43="Debit",-F43,0))</f>
        <v>6118664</v>
      </c>
      <c r="H43" s="4" t="s">
        <v>64</v>
      </c>
      <c r="I43" s="2" t="s">
        <v>65</v>
      </c>
      <c r="J43" s="2" t="s">
        <v>310</v>
      </c>
      <c r="K43" s="4" t="s">
        <v>67</v>
      </c>
      <c r="L43" s="2" t="s">
        <v>68</v>
      </c>
      <c r="M43" s="4" t="s">
        <v>69</v>
      </c>
      <c r="N43" s="2" t="s">
        <v>311</v>
      </c>
      <c r="O43" s="2" t="s">
        <v>71</v>
      </c>
      <c r="P43" s="2" t="s">
        <v>72</v>
      </c>
      <c r="Q43" s="2"/>
      <c r="R43" s="4" t="s">
        <v>30</v>
      </c>
      <c r="S43" s="5" t="n">
        <v>0</v>
      </c>
      <c r="T43" s="2"/>
    </row>
    <row r="44" customFormat="false" ht="15" hidden="false" customHeight="false" outlineLevel="0" collapsed="false">
      <c r="A44" s="2" t="s">
        <v>312</v>
      </c>
      <c r="B44" s="3" t="n">
        <v>45782</v>
      </c>
      <c r="C44" s="3" t="n">
        <v>45782</v>
      </c>
      <c r="D44" s="2" t="s">
        <v>21</v>
      </c>
      <c r="E44" s="4" t="s">
        <v>33</v>
      </c>
      <c r="F44" s="5" t="n">
        <v>15200</v>
      </c>
      <c r="G44" s="6" t="n">
        <f aca="false">G43+IF(E44="Credit",F44,IF(E44="Debit",-F44,0))</f>
        <v>6103464</v>
      </c>
      <c r="H44" s="4" t="s">
        <v>74</v>
      </c>
      <c r="I44" s="2" t="s">
        <v>124</v>
      </c>
      <c r="J44" s="2" t="s">
        <v>125</v>
      </c>
      <c r="K44" s="4" t="s">
        <v>126</v>
      </c>
      <c r="L44" s="2" t="s">
        <v>127</v>
      </c>
      <c r="M44" s="4" t="s">
        <v>38</v>
      </c>
      <c r="N44" s="2" t="s">
        <v>313</v>
      </c>
      <c r="O44" s="2" t="s">
        <v>129</v>
      </c>
      <c r="P44" s="2" t="s">
        <v>130</v>
      </c>
      <c r="Q44" s="2"/>
      <c r="R44" s="4" t="s">
        <v>30</v>
      </c>
      <c r="S44" s="5" t="n">
        <v>0</v>
      </c>
      <c r="T44" s="2"/>
    </row>
    <row r="45" customFormat="false" ht="15" hidden="false" customHeight="false" outlineLevel="0" collapsed="false">
      <c r="A45" s="2" t="s">
        <v>314</v>
      </c>
      <c r="B45" s="3" t="n">
        <v>45783</v>
      </c>
      <c r="C45" s="3" t="n">
        <v>45783</v>
      </c>
      <c r="D45" s="2" t="s">
        <v>21</v>
      </c>
      <c r="E45" s="4" t="s">
        <v>52</v>
      </c>
      <c r="F45" s="5" t="n">
        <v>153400</v>
      </c>
      <c r="G45" s="6" t="n">
        <f aca="false">G44+IF(E45="Credit",F45,IF(E45="Debit",-F45,0))</f>
        <v>6256864</v>
      </c>
      <c r="H45" s="4" t="s">
        <v>99</v>
      </c>
      <c r="I45" s="2" t="s">
        <v>315</v>
      </c>
      <c r="J45" s="2" t="s">
        <v>316</v>
      </c>
      <c r="K45" s="4" t="s">
        <v>77</v>
      </c>
      <c r="L45" s="2" t="s">
        <v>78</v>
      </c>
      <c r="M45" s="4" t="s">
        <v>58</v>
      </c>
      <c r="N45" s="2" t="s">
        <v>317</v>
      </c>
      <c r="O45" s="2" t="s">
        <v>60</v>
      </c>
      <c r="P45" s="2" t="s">
        <v>318</v>
      </c>
      <c r="Q45" s="2" t="s">
        <v>319</v>
      </c>
      <c r="R45" s="4" t="s">
        <v>30</v>
      </c>
      <c r="S45" s="5" t="n">
        <v>23400</v>
      </c>
      <c r="T45" s="2"/>
    </row>
    <row r="46" customFormat="false" ht="15" hidden="false" customHeight="false" outlineLevel="0" collapsed="false">
      <c r="A46" s="2" t="s">
        <v>320</v>
      </c>
      <c r="B46" s="3" t="n">
        <v>45783</v>
      </c>
      <c r="C46" s="3" t="n">
        <v>45783</v>
      </c>
      <c r="D46" s="2" t="s">
        <v>21</v>
      </c>
      <c r="E46" s="4" t="s">
        <v>33</v>
      </c>
      <c r="F46" s="5" t="n">
        <v>28320</v>
      </c>
      <c r="G46" s="6" t="n">
        <f aca="false">G45+IF(E46="Credit",F46,IF(E46="Debit",-F46,0))</f>
        <v>6228544</v>
      </c>
      <c r="H46" s="4" t="s">
        <v>74</v>
      </c>
      <c r="I46" s="2" t="s">
        <v>321</v>
      </c>
      <c r="J46" s="2" t="s">
        <v>322</v>
      </c>
      <c r="K46" s="4" t="s">
        <v>133</v>
      </c>
      <c r="L46" s="2" t="s">
        <v>134</v>
      </c>
      <c r="M46" s="4" t="s">
        <v>38</v>
      </c>
      <c r="N46" s="2" t="s">
        <v>323</v>
      </c>
      <c r="O46" s="2" t="s">
        <v>160</v>
      </c>
      <c r="P46" s="2" t="s">
        <v>324</v>
      </c>
      <c r="Q46" s="2" t="s">
        <v>325</v>
      </c>
      <c r="R46" s="4" t="s">
        <v>30</v>
      </c>
      <c r="S46" s="5" t="n">
        <v>4320</v>
      </c>
      <c r="T46" s="2"/>
    </row>
    <row r="47" customFormat="false" ht="15" hidden="false" customHeight="false" outlineLevel="0" collapsed="false">
      <c r="A47" s="2" t="s">
        <v>326</v>
      </c>
      <c r="B47" s="3" t="n">
        <v>45784</v>
      </c>
      <c r="C47" s="3" t="n">
        <v>45784</v>
      </c>
      <c r="D47" s="2" t="s">
        <v>21</v>
      </c>
      <c r="E47" s="4" t="s">
        <v>33</v>
      </c>
      <c r="F47" s="5" t="n">
        <v>12000</v>
      </c>
      <c r="G47" s="6" t="n">
        <f aca="false">G46+IF(E47="Credit",F47,IF(E47="Debit",-F47,0))</f>
        <v>6216544</v>
      </c>
      <c r="H47" s="4" t="s">
        <v>64</v>
      </c>
      <c r="I47" s="2" t="s">
        <v>83</v>
      </c>
      <c r="J47" s="2" t="s">
        <v>327</v>
      </c>
      <c r="K47" s="4" t="s">
        <v>85</v>
      </c>
      <c r="L47" s="2" t="s">
        <v>86</v>
      </c>
      <c r="M47" s="4" t="s">
        <v>38</v>
      </c>
      <c r="N47" s="2" t="s">
        <v>328</v>
      </c>
      <c r="O47" s="2" t="s">
        <v>88</v>
      </c>
      <c r="P47" s="2" t="s">
        <v>89</v>
      </c>
      <c r="Q47" s="2"/>
      <c r="R47" s="4" t="s">
        <v>30</v>
      </c>
      <c r="S47" s="5" t="n">
        <v>0</v>
      </c>
      <c r="T47" s="2"/>
    </row>
    <row r="48" customFormat="false" ht="15" hidden="false" customHeight="false" outlineLevel="0" collapsed="false">
      <c r="A48" s="2" t="s">
        <v>329</v>
      </c>
      <c r="B48" s="3" t="n">
        <v>45786</v>
      </c>
      <c r="C48" s="3" t="n">
        <v>45786</v>
      </c>
      <c r="D48" s="2" t="s">
        <v>21</v>
      </c>
      <c r="E48" s="4" t="s">
        <v>33</v>
      </c>
      <c r="F48" s="5" t="n">
        <v>2240</v>
      </c>
      <c r="G48" s="6" t="n">
        <f aca="false">G47+IF(E48="Credit",F48,IF(E48="Debit",-F48,0))</f>
        <v>6214304</v>
      </c>
      <c r="H48" s="4" t="s">
        <v>180</v>
      </c>
      <c r="I48" s="2" t="s">
        <v>330</v>
      </c>
      <c r="J48" s="2" t="s">
        <v>331</v>
      </c>
      <c r="K48" s="4" t="s">
        <v>157</v>
      </c>
      <c r="L48" s="2" t="s">
        <v>158</v>
      </c>
      <c r="M48" s="4" t="s">
        <v>38</v>
      </c>
      <c r="N48" s="2" t="s">
        <v>332</v>
      </c>
      <c r="O48" s="2" t="s">
        <v>160</v>
      </c>
      <c r="P48" s="2" t="s">
        <v>333</v>
      </c>
      <c r="Q48" s="2" t="s">
        <v>334</v>
      </c>
      <c r="R48" s="4" t="s">
        <v>30</v>
      </c>
      <c r="S48" s="5" t="n">
        <v>240</v>
      </c>
      <c r="T48" s="2" t="s">
        <v>335</v>
      </c>
    </row>
    <row r="49" customFormat="false" ht="15" hidden="false" customHeight="false" outlineLevel="0" collapsed="false">
      <c r="A49" s="2" t="s">
        <v>336</v>
      </c>
      <c r="B49" s="3" t="n">
        <v>45787</v>
      </c>
      <c r="C49" s="3" t="n">
        <v>45787</v>
      </c>
      <c r="D49" s="2" t="s">
        <v>21</v>
      </c>
      <c r="E49" s="4" t="s">
        <v>33</v>
      </c>
      <c r="F49" s="5" t="n">
        <v>87600</v>
      </c>
      <c r="G49" s="6" t="n">
        <f aca="false">G48+IF(E49="Credit",F49,IF(E49="Debit",-F49,0))</f>
        <v>6126704</v>
      </c>
      <c r="H49" s="4" t="s">
        <v>115</v>
      </c>
      <c r="I49" s="2" t="s">
        <v>116</v>
      </c>
      <c r="J49" s="2" t="s">
        <v>337</v>
      </c>
      <c r="K49" s="4" t="s">
        <v>118</v>
      </c>
      <c r="L49" s="2" t="s">
        <v>119</v>
      </c>
      <c r="M49" s="4" t="s">
        <v>38</v>
      </c>
      <c r="N49" s="2" t="s">
        <v>338</v>
      </c>
      <c r="O49" s="2" t="s">
        <v>121</v>
      </c>
      <c r="P49" s="2" t="s">
        <v>122</v>
      </c>
      <c r="Q49" s="2"/>
      <c r="R49" s="4" t="s">
        <v>30</v>
      </c>
      <c r="S49" s="5" t="n">
        <v>0</v>
      </c>
      <c r="T49" s="2"/>
    </row>
    <row r="50" customFormat="false" ht="15" hidden="false" customHeight="false" outlineLevel="0" collapsed="false">
      <c r="A50" s="2" t="s">
        <v>339</v>
      </c>
      <c r="B50" s="3" t="n">
        <v>45790</v>
      </c>
      <c r="C50" s="3" t="n">
        <v>45790</v>
      </c>
      <c r="D50" s="2" t="s">
        <v>21</v>
      </c>
      <c r="E50" s="4" t="s">
        <v>33</v>
      </c>
      <c r="F50" s="5" t="n">
        <v>2240</v>
      </c>
      <c r="G50" s="6" t="n">
        <f aca="false">G49+IF(E50="Credit",F50,IF(E50="Debit",-F50,0))</f>
        <v>6124464</v>
      </c>
      <c r="H50" s="4" t="s">
        <v>74</v>
      </c>
      <c r="I50" s="2" t="s">
        <v>340</v>
      </c>
      <c r="J50" s="2" t="s">
        <v>341</v>
      </c>
      <c r="K50" s="4" t="s">
        <v>157</v>
      </c>
      <c r="L50" s="2" t="s">
        <v>158</v>
      </c>
      <c r="M50" s="4" t="s">
        <v>38</v>
      </c>
      <c r="N50" s="2" t="s">
        <v>342</v>
      </c>
      <c r="O50" s="2" t="s">
        <v>160</v>
      </c>
      <c r="P50" s="2" t="s">
        <v>333</v>
      </c>
      <c r="Q50" s="2" t="s">
        <v>334</v>
      </c>
      <c r="R50" s="4" t="s">
        <v>30</v>
      </c>
      <c r="S50" s="5" t="n">
        <v>240</v>
      </c>
      <c r="T50" s="2" t="s">
        <v>343</v>
      </c>
    </row>
    <row r="51" customFormat="false" ht="15" hidden="false" customHeight="false" outlineLevel="0" collapsed="false">
      <c r="A51" s="2" t="s">
        <v>344</v>
      </c>
      <c r="B51" s="3" t="n">
        <v>45791</v>
      </c>
      <c r="C51" s="3" t="n">
        <v>45791</v>
      </c>
      <c r="D51" s="2" t="s">
        <v>21</v>
      </c>
      <c r="E51" s="4" t="s">
        <v>33</v>
      </c>
      <c r="F51" s="5" t="n">
        <v>42600</v>
      </c>
      <c r="G51" s="6" t="n">
        <f aca="false">G50+IF(E51="Credit",F51,IF(E51="Debit",-F51,0))</f>
        <v>6081864</v>
      </c>
      <c r="H51" s="4" t="s">
        <v>99</v>
      </c>
      <c r="I51" s="2" t="s">
        <v>139</v>
      </c>
      <c r="J51" s="2" t="s">
        <v>345</v>
      </c>
      <c r="K51" s="4" t="s">
        <v>141</v>
      </c>
      <c r="L51" s="2" t="s">
        <v>142</v>
      </c>
      <c r="M51" s="4" t="s">
        <v>143</v>
      </c>
      <c r="N51" s="2" t="s">
        <v>346</v>
      </c>
      <c r="O51" s="2" t="s">
        <v>145</v>
      </c>
      <c r="P51" s="2" t="s">
        <v>146</v>
      </c>
      <c r="Q51" s="2"/>
      <c r="R51" s="4" t="s">
        <v>30</v>
      </c>
      <c r="S51" s="5" t="n">
        <v>0</v>
      </c>
      <c r="T51" s="2"/>
    </row>
    <row r="52" customFormat="false" ht="15" hidden="false" customHeight="false" outlineLevel="0" collapsed="false">
      <c r="A52" s="2" t="s">
        <v>347</v>
      </c>
      <c r="B52" s="3" t="n">
        <v>45792</v>
      </c>
      <c r="C52" s="3" t="n">
        <v>45793</v>
      </c>
      <c r="D52" s="2" t="s">
        <v>21</v>
      </c>
      <c r="E52" s="4" t="s">
        <v>52</v>
      </c>
      <c r="F52" s="5" t="n">
        <v>212800</v>
      </c>
      <c r="G52" s="6" t="n">
        <f aca="false">G51+IF(E52="Credit",F52,IF(E52="Debit",-F52,0))</f>
        <v>6294664</v>
      </c>
      <c r="H52" s="4" t="s">
        <v>348</v>
      </c>
      <c r="I52" s="2" t="s">
        <v>349</v>
      </c>
      <c r="J52" s="2" t="s">
        <v>350</v>
      </c>
      <c r="K52" s="4" t="s">
        <v>351</v>
      </c>
      <c r="L52" s="2" t="s">
        <v>352</v>
      </c>
      <c r="M52" s="4" t="s">
        <v>58</v>
      </c>
      <c r="N52" s="2" t="s">
        <v>353</v>
      </c>
      <c r="O52" s="2" t="s">
        <v>60</v>
      </c>
      <c r="P52" s="2" t="s">
        <v>354</v>
      </c>
      <c r="Q52" s="2" t="s">
        <v>355</v>
      </c>
      <c r="R52" s="4" t="s">
        <v>30</v>
      </c>
      <c r="S52" s="5" t="n">
        <v>22800</v>
      </c>
      <c r="T52" s="2" t="s">
        <v>356</v>
      </c>
    </row>
    <row r="53" customFormat="false" ht="15" hidden="false" customHeight="false" outlineLevel="0" collapsed="false">
      <c r="A53" s="2" t="s">
        <v>357</v>
      </c>
      <c r="B53" s="3" t="n">
        <v>45792</v>
      </c>
      <c r="C53" s="3" t="n">
        <v>45792</v>
      </c>
      <c r="D53" s="2" t="s">
        <v>21</v>
      </c>
      <c r="E53" s="4" t="s">
        <v>33</v>
      </c>
      <c r="F53" s="5" t="n">
        <v>37590</v>
      </c>
      <c r="G53" s="6" t="n">
        <f aca="false">G52+IF(E53="Credit",F53,IF(E53="Debit",-F53,0))</f>
        <v>6257074</v>
      </c>
      <c r="H53" s="4" t="s">
        <v>64</v>
      </c>
      <c r="I53" s="2" t="s">
        <v>148</v>
      </c>
      <c r="J53" s="2" t="s">
        <v>358</v>
      </c>
      <c r="K53" s="4" t="s">
        <v>150</v>
      </c>
      <c r="L53" s="2" t="s">
        <v>151</v>
      </c>
      <c r="M53" s="4" t="s">
        <v>38</v>
      </c>
      <c r="N53" s="2" t="s">
        <v>359</v>
      </c>
      <c r="O53" s="2" t="s">
        <v>88</v>
      </c>
      <c r="P53" s="2" t="s">
        <v>153</v>
      </c>
      <c r="Q53" s="2"/>
      <c r="R53" s="4" t="s">
        <v>30</v>
      </c>
      <c r="S53" s="5" t="n">
        <v>0</v>
      </c>
      <c r="T53" s="2"/>
    </row>
    <row r="54" customFormat="false" ht="15" hidden="false" customHeight="false" outlineLevel="0" collapsed="false">
      <c r="A54" s="2" t="s">
        <v>360</v>
      </c>
      <c r="B54" s="3" t="n">
        <v>45793</v>
      </c>
      <c r="C54" s="3" t="n">
        <v>45793</v>
      </c>
      <c r="D54" s="2" t="s">
        <v>21</v>
      </c>
      <c r="E54" s="4" t="s">
        <v>52</v>
      </c>
      <c r="F54" s="5" t="n">
        <v>1448242</v>
      </c>
      <c r="G54" s="6" t="n">
        <f aca="false">G53+IF(E54="Credit",F54,IF(E54="Debit",-F54,0))</f>
        <v>7705316</v>
      </c>
      <c r="H54" s="4" t="s">
        <v>99</v>
      </c>
      <c r="I54" s="2" t="s">
        <v>361</v>
      </c>
      <c r="J54" s="2" t="s">
        <v>362</v>
      </c>
      <c r="K54" s="4" t="s">
        <v>363</v>
      </c>
      <c r="L54" s="2" t="s">
        <v>364</v>
      </c>
      <c r="M54" s="4" t="s">
        <v>58</v>
      </c>
      <c r="N54" s="2" t="s">
        <v>365</v>
      </c>
      <c r="O54" s="2" t="s">
        <v>60</v>
      </c>
      <c r="P54" s="2" t="s">
        <v>366</v>
      </c>
      <c r="Q54" s="2" t="s">
        <v>367</v>
      </c>
      <c r="R54" s="4" t="s">
        <v>30</v>
      </c>
      <c r="S54" s="5" t="n">
        <v>239562</v>
      </c>
      <c r="T54" s="2" t="s">
        <v>368</v>
      </c>
    </row>
    <row r="55" customFormat="false" ht="15" hidden="false" customHeight="false" outlineLevel="0" collapsed="false">
      <c r="A55" s="2" t="s">
        <v>369</v>
      </c>
      <c r="B55" s="3" t="n">
        <v>45793</v>
      </c>
      <c r="C55" s="3" t="n">
        <v>45793</v>
      </c>
      <c r="D55" s="2" t="s">
        <v>21</v>
      </c>
      <c r="E55" s="4" t="s">
        <v>52</v>
      </c>
      <c r="F55" s="5" t="n">
        <v>9200</v>
      </c>
      <c r="G55" s="6" t="n">
        <f aca="false">G54+IF(E55="Credit",F55,IF(E55="Debit",-F55,0))</f>
        <v>7714516</v>
      </c>
      <c r="H55" s="4" t="s">
        <v>53</v>
      </c>
      <c r="I55" s="2" t="s">
        <v>370</v>
      </c>
      <c r="J55" s="2" t="s">
        <v>371</v>
      </c>
      <c r="K55" s="4" t="s">
        <v>67</v>
      </c>
      <c r="L55" s="2" t="s">
        <v>68</v>
      </c>
      <c r="M55" s="4" t="s">
        <v>69</v>
      </c>
      <c r="N55" s="2" t="s">
        <v>372</v>
      </c>
      <c r="O55" s="2" t="s">
        <v>373</v>
      </c>
      <c r="P55" s="2" t="s">
        <v>374</v>
      </c>
      <c r="Q55" s="2"/>
      <c r="R55" s="4" t="s">
        <v>30</v>
      </c>
      <c r="S55" s="5" t="n">
        <v>0</v>
      </c>
      <c r="T55" s="2"/>
    </row>
    <row r="56" customFormat="false" ht="15" hidden="false" customHeight="false" outlineLevel="0" collapsed="false">
      <c r="A56" s="2" t="s">
        <v>375</v>
      </c>
      <c r="B56" s="3" t="n">
        <v>45795</v>
      </c>
      <c r="C56" s="3" t="n">
        <v>45795</v>
      </c>
      <c r="D56" s="2" t="s">
        <v>21</v>
      </c>
      <c r="E56" s="4" t="s">
        <v>33</v>
      </c>
      <c r="F56" s="5" t="n">
        <v>23100</v>
      </c>
      <c r="G56" s="6" t="n">
        <f aca="false">G55+IF(E56="Credit",F56,IF(E56="Debit",-F56,0))</f>
        <v>7691416</v>
      </c>
      <c r="H56" s="4" t="s">
        <v>115</v>
      </c>
      <c r="I56" s="2" t="s">
        <v>124</v>
      </c>
      <c r="J56" s="2" t="s">
        <v>125</v>
      </c>
      <c r="K56" s="4" t="s">
        <v>376</v>
      </c>
      <c r="L56" s="2" t="s">
        <v>377</v>
      </c>
      <c r="M56" s="4" t="s">
        <v>38</v>
      </c>
      <c r="N56" s="2" t="s">
        <v>378</v>
      </c>
      <c r="O56" s="2" t="s">
        <v>129</v>
      </c>
      <c r="P56" s="2" t="s">
        <v>130</v>
      </c>
      <c r="Q56" s="2"/>
      <c r="R56" s="4" t="s">
        <v>30</v>
      </c>
      <c r="S56" s="5" t="n">
        <v>0</v>
      </c>
      <c r="T56" s="2"/>
    </row>
    <row r="57" customFormat="false" ht="15" hidden="false" customHeight="false" outlineLevel="0" collapsed="false">
      <c r="A57" s="2" t="s">
        <v>379</v>
      </c>
      <c r="B57" s="3" t="n">
        <v>45796</v>
      </c>
      <c r="C57" s="3" t="n">
        <v>45796</v>
      </c>
      <c r="D57" s="2" t="s">
        <v>21</v>
      </c>
      <c r="E57" s="4" t="s">
        <v>33</v>
      </c>
      <c r="F57" s="5" t="n">
        <v>2400</v>
      </c>
      <c r="G57" s="6" t="n">
        <f aca="false">G56+IF(E57="Credit",F57,IF(E57="Debit",-F57,0))</f>
        <v>7689016</v>
      </c>
      <c r="H57" s="4" t="s">
        <v>289</v>
      </c>
      <c r="I57" s="2" t="s">
        <v>380</v>
      </c>
      <c r="J57" s="2" t="s">
        <v>381</v>
      </c>
      <c r="K57" s="4" t="s">
        <v>67</v>
      </c>
      <c r="L57" s="2" t="s">
        <v>68</v>
      </c>
      <c r="M57" s="4" t="s">
        <v>69</v>
      </c>
      <c r="N57" s="2" t="s">
        <v>382</v>
      </c>
      <c r="O57" s="2" t="s">
        <v>383</v>
      </c>
      <c r="P57" s="2" t="s">
        <v>384</v>
      </c>
      <c r="Q57" s="2"/>
      <c r="R57" s="4" t="s">
        <v>30</v>
      </c>
      <c r="S57" s="5" t="n">
        <v>0</v>
      </c>
      <c r="T57" s="2"/>
    </row>
    <row r="58" customFormat="false" ht="15" hidden="false" customHeight="false" outlineLevel="0" collapsed="false">
      <c r="A58" s="2" t="s">
        <v>385</v>
      </c>
      <c r="B58" s="3" t="n">
        <v>45797</v>
      </c>
      <c r="C58" s="3" t="n">
        <v>45797</v>
      </c>
      <c r="D58" s="2" t="s">
        <v>21</v>
      </c>
      <c r="E58" s="4" t="s">
        <v>33</v>
      </c>
      <c r="F58" s="5" t="n">
        <v>186800</v>
      </c>
      <c r="G58" s="6" t="n">
        <f aca="false">G57+IF(E58="Credit",F58,IF(E58="Debit",-F58,0))</f>
        <v>7502216</v>
      </c>
      <c r="H58" s="4" t="s">
        <v>99</v>
      </c>
      <c r="I58" s="2" t="s">
        <v>172</v>
      </c>
      <c r="J58" s="2" t="s">
        <v>386</v>
      </c>
      <c r="K58" s="4" t="s">
        <v>174</v>
      </c>
      <c r="L58" s="2" t="s">
        <v>175</v>
      </c>
      <c r="M58" s="4" t="s">
        <v>143</v>
      </c>
      <c r="N58" s="2" t="s">
        <v>387</v>
      </c>
      <c r="O58" s="2" t="s">
        <v>177</v>
      </c>
      <c r="P58" s="2" t="s">
        <v>178</v>
      </c>
      <c r="Q58" s="2"/>
      <c r="R58" s="4" t="s">
        <v>30</v>
      </c>
      <c r="S58" s="5" t="n">
        <v>0</v>
      </c>
      <c r="T58" s="2"/>
    </row>
    <row r="59" customFormat="false" ht="15" hidden="false" customHeight="false" outlineLevel="0" collapsed="false">
      <c r="A59" s="2" t="s">
        <v>388</v>
      </c>
      <c r="B59" s="3" t="n">
        <v>45799</v>
      </c>
      <c r="C59" s="3" t="n">
        <v>45799</v>
      </c>
      <c r="D59" s="2" t="s">
        <v>21</v>
      </c>
      <c r="E59" s="4" t="s">
        <v>33</v>
      </c>
      <c r="F59" s="5" t="n">
        <v>177000</v>
      </c>
      <c r="G59" s="6" t="n">
        <f aca="false">G58+IF(E59="Credit",F59,IF(E59="Debit",-F59,0))</f>
        <v>7325216</v>
      </c>
      <c r="H59" s="4" t="s">
        <v>53</v>
      </c>
      <c r="I59" s="2" t="s">
        <v>389</v>
      </c>
      <c r="J59" s="2" t="s">
        <v>390</v>
      </c>
      <c r="K59" s="4" t="s">
        <v>391</v>
      </c>
      <c r="L59" s="2" t="s">
        <v>392</v>
      </c>
      <c r="M59" s="4" t="s">
        <v>38</v>
      </c>
      <c r="N59" s="2" t="s">
        <v>393</v>
      </c>
      <c r="O59" s="2" t="s">
        <v>160</v>
      </c>
      <c r="P59" s="2" t="s">
        <v>394</v>
      </c>
      <c r="Q59" s="2" t="s">
        <v>395</v>
      </c>
      <c r="R59" s="4" t="s">
        <v>30</v>
      </c>
      <c r="S59" s="5" t="n">
        <v>27000</v>
      </c>
      <c r="T59" s="2"/>
    </row>
    <row r="60" customFormat="false" ht="15" hidden="false" customHeight="false" outlineLevel="0" collapsed="false">
      <c r="A60" s="2" t="s">
        <v>396</v>
      </c>
      <c r="B60" s="3" t="n">
        <v>45799</v>
      </c>
      <c r="C60" s="3" t="n">
        <v>45799</v>
      </c>
      <c r="D60" s="2" t="s">
        <v>21</v>
      </c>
      <c r="E60" s="4" t="s">
        <v>33</v>
      </c>
      <c r="F60" s="5" t="n">
        <v>1260</v>
      </c>
      <c r="G60" s="6" t="n">
        <f aca="false">G59+IF(E60="Credit",F60,IF(E60="Debit",-F60,0))</f>
        <v>7323956</v>
      </c>
      <c r="H60" s="4" t="s">
        <v>53</v>
      </c>
      <c r="I60" s="2" t="s">
        <v>214</v>
      </c>
      <c r="J60" s="2" t="s">
        <v>397</v>
      </c>
      <c r="K60" s="4" t="s">
        <v>67</v>
      </c>
      <c r="L60" s="2" t="s">
        <v>68</v>
      </c>
      <c r="M60" s="4" t="s">
        <v>69</v>
      </c>
      <c r="N60" s="2" t="s">
        <v>398</v>
      </c>
      <c r="O60" s="2" t="s">
        <v>96</v>
      </c>
      <c r="P60" s="2" t="s">
        <v>217</v>
      </c>
      <c r="Q60" s="2"/>
      <c r="R60" s="4" t="s">
        <v>30</v>
      </c>
      <c r="S60" s="5" t="n">
        <v>0</v>
      </c>
      <c r="T60" s="2"/>
    </row>
    <row r="61" customFormat="false" ht="15" hidden="false" customHeight="false" outlineLevel="0" collapsed="false">
      <c r="A61" s="2" t="s">
        <v>399</v>
      </c>
      <c r="B61" s="3" t="n">
        <v>45802</v>
      </c>
      <c r="C61" s="3" t="n">
        <v>45802</v>
      </c>
      <c r="D61" s="2" t="s">
        <v>21</v>
      </c>
      <c r="E61" s="4" t="s">
        <v>52</v>
      </c>
      <c r="F61" s="5" t="n">
        <v>51900</v>
      </c>
      <c r="G61" s="6" t="n">
        <f aca="false">G60+IF(E61="Credit",F61,IF(E61="Debit",-F61,0))</f>
        <v>7375856</v>
      </c>
      <c r="H61" s="4" t="s">
        <v>74</v>
      </c>
      <c r="I61" s="2" t="s">
        <v>400</v>
      </c>
      <c r="J61" s="2" t="s">
        <v>401</v>
      </c>
      <c r="K61" s="4" t="s">
        <v>402</v>
      </c>
      <c r="L61" s="2" t="s">
        <v>403</v>
      </c>
      <c r="M61" s="4" t="s">
        <v>58</v>
      </c>
      <c r="N61" s="2" t="s">
        <v>404</v>
      </c>
      <c r="O61" s="2" t="s">
        <v>60</v>
      </c>
      <c r="P61" s="2" t="s">
        <v>405</v>
      </c>
      <c r="Q61" s="2" t="s">
        <v>406</v>
      </c>
      <c r="R61" s="4" t="s">
        <v>30</v>
      </c>
      <c r="S61" s="5" t="n">
        <v>2471</v>
      </c>
      <c r="T61" s="2" t="s">
        <v>407</v>
      </c>
    </row>
    <row r="62" customFormat="false" ht="15" hidden="false" customHeight="false" outlineLevel="0" collapsed="false">
      <c r="A62" s="2" t="s">
        <v>408</v>
      </c>
      <c r="B62" s="3" t="n">
        <v>45802</v>
      </c>
      <c r="C62" s="3" t="n">
        <v>45802</v>
      </c>
      <c r="D62" s="2" t="s">
        <v>21</v>
      </c>
      <c r="E62" s="4" t="s">
        <v>33</v>
      </c>
      <c r="F62" s="5" t="n">
        <v>28320</v>
      </c>
      <c r="G62" s="6" t="n">
        <f aca="false">G61+IF(E62="Credit",F62,IF(E62="Debit",-F62,0))</f>
        <v>7347536</v>
      </c>
      <c r="H62" s="4" t="s">
        <v>99</v>
      </c>
      <c r="I62" s="2" t="s">
        <v>409</v>
      </c>
      <c r="J62" s="2" t="s">
        <v>410</v>
      </c>
      <c r="K62" s="4" t="s">
        <v>36</v>
      </c>
      <c r="L62" s="2" t="s">
        <v>37</v>
      </c>
      <c r="M62" s="4" t="s">
        <v>38</v>
      </c>
      <c r="N62" s="2" t="s">
        <v>411</v>
      </c>
      <c r="O62" s="2" t="s">
        <v>160</v>
      </c>
      <c r="P62" s="2" t="s">
        <v>307</v>
      </c>
      <c r="Q62" s="2" t="s">
        <v>412</v>
      </c>
      <c r="R62" s="4" t="s">
        <v>30</v>
      </c>
      <c r="S62" s="5" t="n">
        <v>4320</v>
      </c>
      <c r="T62" s="2" t="s">
        <v>413</v>
      </c>
    </row>
    <row r="63" customFormat="false" ht="15" hidden="false" customHeight="false" outlineLevel="0" collapsed="false">
      <c r="A63" s="2" t="s">
        <v>414</v>
      </c>
      <c r="B63" s="3" t="n">
        <v>45805</v>
      </c>
      <c r="C63" s="3" t="n">
        <v>45805</v>
      </c>
      <c r="D63" s="2" t="s">
        <v>21</v>
      </c>
      <c r="E63" s="4" t="s">
        <v>52</v>
      </c>
      <c r="F63" s="5" t="n">
        <v>212800</v>
      </c>
      <c r="G63" s="6" t="n">
        <f aca="false">G62+IF(E63="Credit",F63,IF(E63="Debit",-F63,0))</f>
        <v>7560336</v>
      </c>
      <c r="H63" s="4" t="s">
        <v>74</v>
      </c>
      <c r="I63" s="2" t="s">
        <v>415</v>
      </c>
      <c r="J63" s="2" t="s">
        <v>416</v>
      </c>
      <c r="K63" s="4" t="s">
        <v>351</v>
      </c>
      <c r="L63" s="2" t="s">
        <v>352</v>
      </c>
      <c r="M63" s="4" t="s">
        <v>58</v>
      </c>
      <c r="N63" s="2" t="s">
        <v>417</v>
      </c>
      <c r="O63" s="2" t="s">
        <v>60</v>
      </c>
      <c r="P63" s="2" t="s">
        <v>354</v>
      </c>
      <c r="Q63" s="2" t="s">
        <v>355</v>
      </c>
      <c r="R63" s="4" t="s">
        <v>30</v>
      </c>
      <c r="S63" s="5" t="n">
        <v>22800</v>
      </c>
      <c r="T63" s="2" t="s">
        <v>418</v>
      </c>
    </row>
    <row r="64" customFormat="false" ht="15" hidden="false" customHeight="false" outlineLevel="0" collapsed="false">
      <c r="A64" s="2" t="s">
        <v>419</v>
      </c>
      <c r="B64" s="3" t="n">
        <v>45805</v>
      </c>
      <c r="C64" s="3" t="n">
        <v>45805</v>
      </c>
      <c r="D64" s="2" t="s">
        <v>21</v>
      </c>
      <c r="E64" s="4" t="s">
        <v>33</v>
      </c>
      <c r="F64" s="5" t="n">
        <v>68200</v>
      </c>
      <c r="G64" s="6" t="n">
        <f aca="false">G63+IF(E64="Credit",F64,IF(E64="Debit",-F64,0))</f>
        <v>7492136</v>
      </c>
      <c r="H64" s="4" t="s">
        <v>53</v>
      </c>
      <c r="I64" s="2" t="s">
        <v>219</v>
      </c>
      <c r="J64" s="2" t="s">
        <v>420</v>
      </c>
      <c r="K64" s="4" t="s">
        <v>221</v>
      </c>
      <c r="L64" s="2" t="s">
        <v>222</v>
      </c>
      <c r="M64" s="4" t="s">
        <v>223</v>
      </c>
      <c r="N64" s="2" t="s">
        <v>421</v>
      </c>
      <c r="O64" s="2" t="s">
        <v>225</v>
      </c>
      <c r="P64" s="2" t="s">
        <v>226</v>
      </c>
      <c r="Q64" s="2"/>
      <c r="R64" s="4" t="s">
        <v>30</v>
      </c>
      <c r="S64" s="5" t="n">
        <v>0</v>
      </c>
      <c r="T64" s="2"/>
    </row>
    <row r="65" customFormat="false" ht="15" hidden="false" customHeight="false" outlineLevel="0" collapsed="false">
      <c r="A65" s="2" t="s">
        <v>422</v>
      </c>
      <c r="B65" s="3" t="n">
        <v>45805</v>
      </c>
      <c r="C65" s="3" t="n">
        <v>45805</v>
      </c>
      <c r="D65" s="2" t="s">
        <v>21</v>
      </c>
      <c r="E65" s="4" t="s">
        <v>33</v>
      </c>
      <c r="F65" s="5" t="n">
        <v>93000</v>
      </c>
      <c r="G65" s="6" t="n">
        <f aca="false">G64+IF(E65="Credit",F65,IF(E65="Debit",-F65,0))</f>
        <v>7399136</v>
      </c>
      <c r="H65" s="4" t="s">
        <v>53</v>
      </c>
      <c r="I65" s="2" t="s">
        <v>228</v>
      </c>
      <c r="J65" s="2" t="s">
        <v>420</v>
      </c>
      <c r="K65" s="4" t="s">
        <v>229</v>
      </c>
      <c r="L65" s="2" t="s">
        <v>230</v>
      </c>
      <c r="M65" s="4" t="s">
        <v>223</v>
      </c>
      <c r="N65" s="2" t="s">
        <v>423</v>
      </c>
      <c r="O65" s="2" t="s">
        <v>225</v>
      </c>
      <c r="P65" s="2" t="s">
        <v>226</v>
      </c>
      <c r="Q65" s="2"/>
      <c r="R65" s="4" t="s">
        <v>30</v>
      </c>
      <c r="S65" s="5" t="n">
        <v>0</v>
      </c>
      <c r="T65" s="2"/>
    </row>
    <row r="66" customFormat="false" ht="15" hidden="false" customHeight="false" outlineLevel="0" collapsed="false">
      <c r="A66" s="2" t="s">
        <v>424</v>
      </c>
      <c r="B66" s="3" t="n">
        <v>45805</v>
      </c>
      <c r="C66" s="3" t="n">
        <v>45805</v>
      </c>
      <c r="D66" s="2" t="s">
        <v>21</v>
      </c>
      <c r="E66" s="4" t="s">
        <v>33</v>
      </c>
      <c r="F66" s="5" t="n">
        <v>120200</v>
      </c>
      <c r="G66" s="6" t="n">
        <f aca="false">G65+IF(E66="Credit",F66,IF(E66="Debit",-F66,0))</f>
        <v>7278936</v>
      </c>
      <c r="H66" s="4" t="s">
        <v>53</v>
      </c>
      <c r="I66" s="2" t="s">
        <v>233</v>
      </c>
      <c r="J66" s="2" t="s">
        <v>420</v>
      </c>
      <c r="K66" s="4" t="s">
        <v>234</v>
      </c>
      <c r="L66" s="2" t="s">
        <v>235</v>
      </c>
      <c r="M66" s="4" t="s">
        <v>223</v>
      </c>
      <c r="N66" s="2" t="s">
        <v>425</v>
      </c>
      <c r="O66" s="2" t="s">
        <v>225</v>
      </c>
      <c r="P66" s="2" t="s">
        <v>237</v>
      </c>
      <c r="Q66" s="2"/>
      <c r="R66" s="4" t="s">
        <v>30</v>
      </c>
      <c r="S66" s="5" t="n">
        <v>0</v>
      </c>
      <c r="T66" s="2"/>
    </row>
    <row r="67" customFormat="false" ht="15" hidden="false" customHeight="false" outlineLevel="0" collapsed="false">
      <c r="A67" s="2" t="s">
        <v>426</v>
      </c>
      <c r="B67" s="3" t="n">
        <v>45805</v>
      </c>
      <c r="C67" s="3" t="n">
        <v>45805</v>
      </c>
      <c r="D67" s="2" t="s">
        <v>21</v>
      </c>
      <c r="E67" s="4" t="s">
        <v>33</v>
      </c>
      <c r="F67" s="5" t="n">
        <v>72700</v>
      </c>
      <c r="G67" s="6" t="n">
        <f aca="false">G66+IF(E67="Credit",F67,IF(E67="Debit",-F67,0))</f>
        <v>7206236</v>
      </c>
      <c r="H67" s="4" t="s">
        <v>53</v>
      </c>
      <c r="I67" s="2" t="s">
        <v>239</v>
      </c>
      <c r="J67" s="2" t="s">
        <v>420</v>
      </c>
      <c r="K67" s="4" t="s">
        <v>240</v>
      </c>
      <c r="L67" s="2" t="s">
        <v>241</v>
      </c>
      <c r="M67" s="4" t="s">
        <v>223</v>
      </c>
      <c r="N67" s="2" t="s">
        <v>427</v>
      </c>
      <c r="O67" s="2" t="s">
        <v>225</v>
      </c>
      <c r="P67" s="2" t="s">
        <v>243</v>
      </c>
      <c r="Q67" s="2"/>
      <c r="R67" s="4" t="s">
        <v>30</v>
      </c>
      <c r="S67" s="5" t="n">
        <v>0</v>
      </c>
      <c r="T67" s="2"/>
    </row>
    <row r="68" customFormat="false" ht="15" hidden="false" customHeight="false" outlineLevel="0" collapsed="false">
      <c r="A68" s="2" t="s">
        <v>428</v>
      </c>
      <c r="B68" s="3" t="n">
        <v>45805</v>
      </c>
      <c r="C68" s="3" t="n">
        <v>45805</v>
      </c>
      <c r="D68" s="2" t="s">
        <v>21</v>
      </c>
      <c r="E68" s="4" t="s">
        <v>33</v>
      </c>
      <c r="F68" s="5" t="n">
        <v>96900</v>
      </c>
      <c r="G68" s="6" t="n">
        <f aca="false">G67+IF(E68="Credit",F68,IF(E68="Debit",-F68,0))</f>
        <v>7109336</v>
      </c>
      <c r="H68" s="4" t="s">
        <v>53</v>
      </c>
      <c r="I68" s="2" t="s">
        <v>245</v>
      </c>
      <c r="J68" s="2" t="s">
        <v>420</v>
      </c>
      <c r="K68" s="4" t="s">
        <v>246</v>
      </c>
      <c r="L68" s="2" t="s">
        <v>247</v>
      </c>
      <c r="M68" s="4" t="s">
        <v>223</v>
      </c>
      <c r="N68" s="2" t="s">
        <v>429</v>
      </c>
      <c r="O68" s="2" t="s">
        <v>225</v>
      </c>
      <c r="P68" s="2" t="s">
        <v>226</v>
      </c>
      <c r="Q68" s="2"/>
      <c r="R68" s="4" t="s">
        <v>30</v>
      </c>
      <c r="S68" s="5" t="n">
        <v>0</v>
      </c>
      <c r="T68" s="2"/>
    </row>
    <row r="69" customFormat="false" ht="15" hidden="false" customHeight="false" outlineLevel="0" collapsed="false">
      <c r="A69" s="2" t="s">
        <v>430</v>
      </c>
      <c r="B69" s="3" t="n">
        <v>45805</v>
      </c>
      <c r="C69" s="3" t="n">
        <v>45805</v>
      </c>
      <c r="D69" s="2" t="s">
        <v>21</v>
      </c>
      <c r="E69" s="4" t="s">
        <v>33</v>
      </c>
      <c r="F69" s="5" t="n">
        <v>61900</v>
      </c>
      <c r="G69" s="6" t="n">
        <f aca="false">G68+IF(E69="Credit",F69,IF(E69="Debit",-F69,0))</f>
        <v>7047436</v>
      </c>
      <c r="H69" s="4" t="s">
        <v>53</v>
      </c>
      <c r="I69" s="2" t="s">
        <v>250</v>
      </c>
      <c r="J69" s="2" t="s">
        <v>420</v>
      </c>
      <c r="K69" s="4" t="s">
        <v>251</v>
      </c>
      <c r="L69" s="2" t="s">
        <v>252</v>
      </c>
      <c r="M69" s="4" t="s">
        <v>223</v>
      </c>
      <c r="N69" s="2" t="s">
        <v>431</v>
      </c>
      <c r="O69" s="2" t="s">
        <v>225</v>
      </c>
      <c r="P69" s="2" t="s">
        <v>226</v>
      </c>
      <c r="Q69" s="2"/>
      <c r="R69" s="4" t="s">
        <v>30</v>
      </c>
      <c r="S69" s="5" t="n">
        <v>0</v>
      </c>
      <c r="T69" s="2"/>
    </row>
    <row r="70" customFormat="false" ht="15" hidden="false" customHeight="false" outlineLevel="0" collapsed="false">
      <c r="A70" s="2" t="s">
        <v>432</v>
      </c>
      <c r="B70" s="3" t="n">
        <v>45805</v>
      </c>
      <c r="C70" s="3" t="n">
        <v>45805</v>
      </c>
      <c r="D70" s="2" t="s">
        <v>21</v>
      </c>
      <c r="E70" s="4" t="s">
        <v>33</v>
      </c>
      <c r="F70" s="5" t="n">
        <v>78600</v>
      </c>
      <c r="G70" s="6" t="n">
        <f aca="false">G69+IF(E70="Credit",F70,IF(E70="Debit",-F70,0))</f>
        <v>6968836</v>
      </c>
      <c r="H70" s="4" t="s">
        <v>53</v>
      </c>
      <c r="I70" s="2" t="s">
        <v>255</v>
      </c>
      <c r="J70" s="2" t="s">
        <v>420</v>
      </c>
      <c r="K70" s="4" t="s">
        <v>256</v>
      </c>
      <c r="L70" s="2" t="s">
        <v>257</v>
      </c>
      <c r="M70" s="4" t="s">
        <v>223</v>
      </c>
      <c r="N70" s="2" t="s">
        <v>433</v>
      </c>
      <c r="O70" s="2" t="s">
        <v>225</v>
      </c>
      <c r="P70" s="2" t="s">
        <v>237</v>
      </c>
      <c r="Q70" s="2"/>
      <c r="R70" s="4" t="s">
        <v>30</v>
      </c>
      <c r="S70" s="5" t="n">
        <v>0</v>
      </c>
      <c r="T70" s="2"/>
    </row>
    <row r="71" customFormat="false" ht="15" hidden="false" customHeight="false" outlineLevel="0" collapsed="false">
      <c r="A71" s="2" t="s">
        <v>434</v>
      </c>
      <c r="B71" s="3" t="n">
        <v>45805</v>
      </c>
      <c r="C71" s="3" t="n">
        <v>45805</v>
      </c>
      <c r="D71" s="2" t="s">
        <v>21</v>
      </c>
      <c r="E71" s="4" t="s">
        <v>33</v>
      </c>
      <c r="F71" s="5" t="n">
        <v>84400</v>
      </c>
      <c r="G71" s="6" t="n">
        <f aca="false">G70+IF(E71="Credit",F71,IF(E71="Debit",-F71,0))</f>
        <v>6884436</v>
      </c>
      <c r="H71" s="4" t="s">
        <v>53</v>
      </c>
      <c r="I71" s="2" t="s">
        <v>260</v>
      </c>
      <c r="J71" s="2" t="s">
        <v>420</v>
      </c>
      <c r="K71" s="4" t="s">
        <v>261</v>
      </c>
      <c r="L71" s="2" t="s">
        <v>262</v>
      </c>
      <c r="M71" s="4" t="s">
        <v>223</v>
      </c>
      <c r="N71" s="2" t="s">
        <v>435</v>
      </c>
      <c r="O71" s="2" t="s">
        <v>225</v>
      </c>
      <c r="P71" s="2" t="s">
        <v>264</v>
      </c>
      <c r="Q71" s="2"/>
      <c r="R71" s="4" t="s">
        <v>30</v>
      </c>
      <c r="S71" s="5" t="n">
        <v>0</v>
      </c>
      <c r="T71" s="2"/>
    </row>
    <row r="72" customFormat="false" ht="15" hidden="false" customHeight="false" outlineLevel="0" collapsed="false">
      <c r="A72" s="2" t="s">
        <v>436</v>
      </c>
      <c r="B72" s="3" t="n">
        <v>45805</v>
      </c>
      <c r="C72" s="3" t="n">
        <v>45805</v>
      </c>
      <c r="D72" s="2" t="s">
        <v>21</v>
      </c>
      <c r="E72" s="4" t="s">
        <v>33</v>
      </c>
      <c r="F72" s="5" t="n">
        <v>57700</v>
      </c>
      <c r="G72" s="6" t="n">
        <f aca="false">G71+IF(E72="Credit",F72,IF(E72="Debit",-F72,0))</f>
        <v>6826736</v>
      </c>
      <c r="H72" s="4" t="s">
        <v>53</v>
      </c>
      <c r="I72" s="2" t="s">
        <v>266</v>
      </c>
      <c r="J72" s="2" t="s">
        <v>420</v>
      </c>
      <c r="K72" s="4" t="s">
        <v>267</v>
      </c>
      <c r="L72" s="2" t="s">
        <v>268</v>
      </c>
      <c r="M72" s="4" t="s">
        <v>223</v>
      </c>
      <c r="N72" s="2" t="s">
        <v>437</v>
      </c>
      <c r="O72" s="2" t="s">
        <v>225</v>
      </c>
      <c r="P72" s="2" t="s">
        <v>270</v>
      </c>
      <c r="Q72" s="2"/>
      <c r="R72" s="4" t="s">
        <v>30</v>
      </c>
      <c r="S72" s="5" t="n">
        <v>0</v>
      </c>
      <c r="T72" s="2"/>
    </row>
    <row r="73" customFormat="false" ht="15" hidden="false" customHeight="false" outlineLevel="0" collapsed="false">
      <c r="A73" s="2" t="s">
        <v>438</v>
      </c>
      <c r="B73" s="3" t="n">
        <v>45805</v>
      </c>
      <c r="C73" s="3" t="n">
        <v>45805</v>
      </c>
      <c r="D73" s="2" t="s">
        <v>21</v>
      </c>
      <c r="E73" s="4" t="s">
        <v>33</v>
      </c>
      <c r="F73" s="5" t="n">
        <v>82300</v>
      </c>
      <c r="G73" s="6" t="n">
        <f aca="false">G72+IF(E73="Credit",F73,IF(E73="Debit",-F73,0))</f>
        <v>6744436</v>
      </c>
      <c r="H73" s="4" t="s">
        <v>53</v>
      </c>
      <c r="I73" s="2" t="s">
        <v>272</v>
      </c>
      <c r="J73" s="2" t="s">
        <v>420</v>
      </c>
      <c r="K73" s="4" t="s">
        <v>273</v>
      </c>
      <c r="L73" s="2" t="s">
        <v>274</v>
      </c>
      <c r="M73" s="4" t="s">
        <v>223</v>
      </c>
      <c r="N73" s="2" t="s">
        <v>439</v>
      </c>
      <c r="O73" s="2" t="s">
        <v>225</v>
      </c>
      <c r="P73" s="2" t="s">
        <v>276</v>
      </c>
      <c r="Q73" s="2"/>
      <c r="R73" s="4" t="s">
        <v>30</v>
      </c>
      <c r="S73" s="5" t="n">
        <v>0</v>
      </c>
      <c r="T73" s="2"/>
    </row>
    <row r="74" customFormat="false" ht="15" hidden="false" customHeight="false" outlineLevel="0" collapsed="false">
      <c r="A74" s="2" t="s">
        <v>440</v>
      </c>
      <c r="B74" s="3" t="n">
        <v>45805</v>
      </c>
      <c r="C74" s="3" t="n">
        <v>45805</v>
      </c>
      <c r="D74" s="2" t="s">
        <v>21</v>
      </c>
      <c r="E74" s="4" t="s">
        <v>33</v>
      </c>
      <c r="F74" s="5" t="n">
        <v>137200</v>
      </c>
      <c r="G74" s="6" t="n">
        <f aca="false">G73+IF(E74="Credit",F74,IF(E74="Debit",-F74,0))</f>
        <v>6607236</v>
      </c>
      <c r="H74" s="4" t="s">
        <v>53</v>
      </c>
      <c r="I74" s="2" t="s">
        <v>278</v>
      </c>
      <c r="J74" s="2" t="s">
        <v>420</v>
      </c>
      <c r="K74" s="4" t="s">
        <v>279</v>
      </c>
      <c r="L74" s="2" t="s">
        <v>280</v>
      </c>
      <c r="M74" s="4" t="s">
        <v>223</v>
      </c>
      <c r="N74" s="2" t="s">
        <v>441</v>
      </c>
      <c r="O74" s="2" t="s">
        <v>225</v>
      </c>
      <c r="P74" s="2" t="s">
        <v>226</v>
      </c>
      <c r="Q74" s="2"/>
      <c r="R74" s="4" t="s">
        <v>30</v>
      </c>
      <c r="S74" s="5" t="n">
        <v>0</v>
      </c>
      <c r="T74" s="2"/>
    </row>
    <row r="75" customFormat="false" ht="15" hidden="false" customHeight="false" outlineLevel="0" collapsed="false">
      <c r="A75" s="2" t="s">
        <v>442</v>
      </c>
      <c r="B75" s="3" t="n">
        <v>45805</v>
      </c>
      <c r="C75" s="3" t="n">
        <v>45805</v>
      </c>
      <c r="D75" s="2" t="s">
        <v>21</v>
      </c>
      <c r="E75" s="4" t="s">
        <v>33</v>
      </c>
      <c r="F75" s="5" t="n">
        <v>55700</v>
      </c>
      <c r="G75" s="6" t="n">
        <f aca="false">G74+IF(E75="Credit",F75,IF(E75="Debit",-F75,0))</f>
        <v>6551536</v>
      </c>
      <c r="H75" s="4" t="s">
        <v>53</v>
      </c>
      <c r="I75" s="2" t="s">
        <v>283</v>
      </c>
      <c r="J75" s="2" t="s">
        <v>420</v>
      </c>
      <c r="K75" s="4" t="s">
        <v>284</v>
      </c>
      <c r="L75" s="2" t="s">
        <v>285</v>
      </c>
      <c r="M75" s="4" t="s">
        <v>223</v>
      </c>
      <c r="N75" s="2" t="s">
        <v>443</v>
      </c>
      <c r="O75" s="2" t="s">
        <v>225</v>
      </c>
      <c r="P75" s="2" t="s">
        <v>287</v>
      </c>
      <c r="Q75" s="2"/>
      <c r="R75" s="4" t="s">
        <v>30</v>
      </c>
      <c r="S75" s="5" t="n">
        <v>0</v>
      </c>
      <c r="T75" s="2"/>
    </row>
    <row r="76" customFormat="false" ht="15" hidden="false" customHeight="false" outlineLevel="0" collapsed="false">
      <c r="A76" s="2" t="s">
        <v>444</v>
      </c>
      <c r="B76" s="3" t="n">
        <v>45808</v>
      </c>
      <c r="C76" s="3" t="n">
        <v>45808</v>
      </c>
      <c r="D76" s="2" t="s">
        <v>21</v>
      </c>
      <c r="E76" s="4" t="s">
        <v>52</v>
      </c>
      <c r="F76" s="5" t="n">
        <v>826000</v>
      </c>
      <c r="G76" s="6" t="n">
        <f aca="false">G75+IF(E76="Credit",F76,IF(E76="Debit",-F76,0))</f>
        <v>7377536</v>
      </c>
      <c r="H76" s="4" t="s">
        <v>99</v>
      </c>
      <c r="I76" s="2" t="s">
        <v>445</v>
      </c>
      <c r="J76" s="2" t="s">
        <v>446</v>
      </c>
      <c r="K76" s="4" t="s">
        <v>447</v>
      </c>
      <c r="L76" s="2" t="s">
        <v>448</v>
      </c>
      <c r="M76" s="4" t="s">
        <v>58</v>
      </c>
      <c r="N76" s="2" t="s">
        <v>449</v>
      </c>
      <c r="O76" s="2" t="s">
        <v>60</v>
      </c>
      <c r="P76" s="2" t="s">
        <v>405</v>
      </c>
      <c r="Q76" s="2" t="s">
        <v>450</v>
      </c>
      <c r="R76" s="4" t="s">
        <v>30</v>
      </c>
      <c r="S76" s="5" t="n">
        <v>126000</v>
      </c>
      <c r="T76" s="2" t="s">
        <v>413</v>
      </c>
    </row>
    <row r="77" customFormat="false" ht="15" hidden="false" customHeight="false" outlineLevel="0" collapsed="false">
      <c r="A77" s="2" t="s">
        <v>451</v>
      </c>
      <c r="B77" s="3" t="n">
        <v>45809</v>
      </c>
      <c r="C77" s="3" t="n">
        <v>45809</v>
      </c>
      <c r="D77" s="2" t="s">
        <v>21</v>
      </c>
      <c r="E77" s="4" t="s">
        <v>52</v>
      </c>
      <c r="F77" s="5" t="n">
        <v>217120</v>
      </c>
      <c r="G77" s="6" t="n">
        <f aca="false">G76+IF(E77="Credit",F77,IF(E77="Debit",-F77,0))</f>
        <v>7594656</v>
      </c>
      <c r="H77" s="4" t="s">
        <v>99</v>
      </c>
      <c r="I77" s="2" t="s">
        <v>452</v>
      </c>
      <c r="J77" s="2" t="s">
        <v>453</v>
      </c>
      <c r="K77" s="4" t="s">
        <v>454</v>
      </c>
      <c r="L77" s="2" t="s">
        <v>455</v>
      </c>
      <c r="M77" s="4" t="s">
        <v>58</v>
      </c>
      <c r="N77" s="2" t="s">
        <v>456</v>
      </c>
      <c r="O77" s="2" t="s">
        <v>60</v>
      </c>
      <c r="P77" s="2" t="s">
        <v>195</v>
      </c>
      <c r="Q77" s="2" t="s">
        <v>457</v>
      </c>
      <c r="R77" s="4" t="s">
        <v>30</v>
      </c>
      <c r="S77" s="5" t="n">
        <v>33120</v>
      </c>
      <c r="T77" s="2"/>
    </row>
    <row r="78" customFormat="false" ht="15" hidden="false" customHeight="false" outlineLevel="0" collapsed="false">
      <c r="A78" s="2" t="s">
        <v>458</v>
      </c>
      <c r="B78" s="3" t="n">
        <v>45811</v>
      </c>
      <c r="C78" s="3" t="n">
        <v>45811</v>
      </c>
      <c r="D78" s="2" t="s">
        <v>21</v>
      </c>
      <c r="E78" s="4" t="s">
        <v>33</v>
      </c>
      <c r="F78" s="5" t="n">
        <v>95000</v>
      </c>
      <c r="G78" s="6" t="n">
        <f aca="false">G77+IF(E78="Credit",F78,IF(E78="Debit",-F78,0))</f>
        <v>7499656</v>
      </c>
      <c r="H78" s="4" t="s">
        <v>43</v>
      </c>
      <c r="I78" s="2" t="s">
        <v>44</v>
      </c>
      <c r="J78" s="2" t="s">
        <v>459</v>
      </c>
      <c r="K78" s="4" t="s">
        <v>46</v>
      </c>
      <c r="L78" s="2" t="s">
        <v>47</v>
      </c>
      <c r="M78" s="4" t="s">
        <v>38</v>
      </c>
      <c r="N78" s="2" t="s">
        <v>460</v>
      </c>
      <c r="O78" s="2" t="s">
        <v>49</v>
      </c>
      <c r="P78" s="2" t="s">
        <v>50</v>
      </c>
      <c r="Q78" s="2"/>
      <c r="R78" s="4" t="s">
        <v>30</v>
      </c>
      <c r="S78" s="5" t="n">
        <v>0</v>
      </c>
      <c r="T78" s="2"/>
    </row>
    <row r="79" customFormat="false" ht="15" hidden="false" customHeight="false" outlineLevel="0" collapsed="false">
      <c r="A79" s="2" t="s">
        <v>461</v>
      </c>
      <c r="B79" s="3" t="n">
        <v>45811</v>
      </c>
      <c r="C79" s="3" t="n">
        <v>45811</v>
      </c>
      <c r="D79" s="2" t="s">
        <v>21</v>
      </c>
      <c r="E79" s="4" t="s">
        <v>33</v>
      </c>
      <c r="F79" s="5" t="n">
        <v>2900</v>
      </c>
      <c r="G79" s="6" t="n">
        <f aca="false">G78+IF(E79="Credit",F79,IF(E79="Debit",-F79,0))</f>
        <v>7496756</v>
      </c>
      <c r="H79" s="4" t="s">
        <v>74</v>
      </c>
      <c r="I79" s="2" t="s">
        <v>290</v>
      </c>
      <c r="J79" s="2" t="s">
        <v>290</v>
      </c>
      <c r="K79" s="4" t="s">
        <v>36</v>
      </c>
      <c r="L79" s="2" t="s">
        <v>37</v>
      </c>
      <c r="M79" s="4" t="s">
        <v>38</v>
      </c>
      <c r="N79" s="2" t="s">
        <v>462</v>
      </c>
      <c r="O79" s="2" t="s">
        <v>40</v>
      </c>
      <c r="P79" s="2" t="s">
        <v>41</v>
      </c>
      <c r="Q79" s="2"/>
      <c r="R79" s="4" t="s">
        <v>30</v>
      </c>
      <c r="S79" s="5" t="n">
        <v>0</v>
      </c>
      <c r="T79" s="2"/>
    </row>
    <row r="80" customFormat="false" ht="15" hidden="false" customHeight="false" outlineLevel="0" collapsed="false">
      <c r="A80" s="2" t="s">
        <v>463</v>
      </c>
      <c r="B80" s="3" t="n">
        <v>45812</v>
      </c>
      <c r="C80" s="3" t="n">
        <v>45812</v>
      </c>
      <c r="D80" s="2" t="s">
        <v>21</v>
      </c>
      <c r="E80" s="4" t="s">
        <v>52</v>
      </c>
      <c r="F80" s="5" t="n">
        <v>53000</v>
      </c>
      <c r="G80" s="6" t="n">
        <f aca="false">G79+IF(E80="Credit",F80,IF(E80="Debit",-F80,0))</f>
        <v>7549756</v>
      </c>
      <c r="H80" s="4" t="s">
        <v>99</v>
      </c>
      <c r="I80" s="2" t="s">
        <v>464</v>
      </c>
      <c r="J80" s="2" t="s">
        <v>55</v>
      </c>
      <c r="K80" s="4" t="s">
        <v>465</v>
      </c>
      <c r="L80" s="2" t="s">
        <v>466</v>
      </c>
      <c r="M80" s="4" t="s">
        <v>58</v>
      </c>
      <c r="N80" s="2" t="s">
        <v>467</v>
      </c>
      <c r="O80" s="2" t="s">
        <v>60</v>
      </c>
      <c r="P80" s="2" t="s">
        <v>61</v>
      </c>
      <c r="Q80" s="2"/>
      <c r="R80" s="4" t="s">
        <v>30</v>
      </c>
      <c r="S80" s="5" t="n">
        <v>0</v>
      </c>
      <c r="T80" s="2" t="s">
        <v>62</v>
      </c>
    </row>
    <row r="81" customFormat="false" ht="15" hidden="false" customHeight="false" outlineLevel="0" collapsed="false">
      <c r="A81" s="2" t="s">
        <v>468</v>
      </c>
      <c r="B81" s="3" t="n">
        <v>45813</v>
      </c>
      <c r="C81" s="3" t="n">
        <v>45813</v>
      </c>
      <c r="D81" s="2" t="s">
        <v>21</v>
      </c>
      <c r="E81" s="4" t="s">
        <v>33</v>
      </c>
      <c r="F81" s="5" t="n">
        <v>145000</v>
      </c>
      <c r="G81" s="6" t="n">
        <f aca="false">G80+IF(E81="Credit",F81,IF(E81="Debit",-F81,0))</f>
        <v>7404756</v>
      </c>
      <c r="H81" s="4" t="s">
        <v>64</v>
      </c>
      <c r="I81" s="2" t="s">
        <v>65</v>
      </c>
      <c r="J81" s="2" t="s">
        <v>469</v>
      </c>
      <c r="K81" s="4" t="s">
        <v>67</v>
      </c>
      <c r="L81" s="2" t="s">
        <v>68</v>
      </c>
      <c r="M81" s="4" t="s">
        <v>69</v>
      </c>
      <c r="N81" s="2" t="s">
        <v>470</v>
      </c>
      <c r="O81" s="2" t="s">
        <v>71</v>
      </c>
      <c r="P81" s="2" t="s">
        <v>72</v>
      </c>
      <c r="Q81" s="2"/>
      <c r="R81" s="4" t="s">
        <v>30</v>
      </c>
      <c r="S81" s="5" t="n">
        <v>0</v>
      </c>
      <c r="T81" s="2"/>
    </row>
    <row r="82" customFormat="false" ht="15" hidden="false" customHeight="false" outlineLevel="0" collapsed="false">
      <c r="A82" s="2" t="s">
        <v>471</v>
      </c>
      <c r="B82" s="3" t="n">
        <v>45814</v>
      </c>
      <c r="C82" s="3" t="n">
        <v>45814</v>
      </c>
      <c r="D82" s="2" t="s">
        <v>21</v>
      </c>
      <c r="E82" s="4" t="s">
        <v>52</v>
      </c>
      <c r="F82" s="5" t="n">
        <v>248320</v>
      </c>
      <c r="G82" s="6" t="n">
        <f aca="false">G81+IF(E82="Credit",F82,IF(E82="Debit",-F82,0))</f>
        <v>7653076</v>
      </c>
      <c r="H82" s="4" t="s">
        <v>99</v>
      </c>
      <c r="I82" s="2" t="s">
        <v>472</v>
      </c>
      <c r="J82" s="2" t="s">
        <v>473</v>
      </c>
      <c r="K82" s="4" t="s">
        <v>474</v>
      </c>
      <c r="L82" s="2" t="s">
        <v>475</v>
      </c>
      <c r="M82" s="4" t="s">
        <v>58</v>
      </c>
      <c r="N82" s="2" t="s">
        <v>476</v>
      </c>
      <c r="O82" s="2" t="s">
        <v>60</v>
      </c>
      <c r="P82" s="2" t="s">
        <v>477</v>
      </c>
      <c r="Q82" s="2" t="s">
        <v>478</v>
      </c>
      <c r="R82" s="4" t="s">
        <v>30</v>
      </c>
      <c r="S82" s="5" t="n">
        <v>54320</v>
      </c>
      <c r="T82" s="2" t="s">
        <v>479</v>
      </c>
    </row>
    <row r="83" customFormat="false" ht="15" hidden="false" customHeight="false" outlineLevel="0" collapsed="false">
      <c r="A83" s="2" t="s">
        <v>480</v>
      </c>
      <c r="B83" s="3" t="n">
        <v>45815</v>
      </c>
      <c r="C83" s="3" t="n">
        <v>45815</v>
      </c>
      <c r="D83" s="2" t="s">
        <v>21</v>
      </c>
      <c r="E83" s="4" t="s">
        <v>33</v>
      </c>
      <c r="F83" s="5" t="n">
        <v>12000</v>
      </c>
      <c r="G83" s="6" t="n">
        <f aca="false">G82+IF(E83="Credit",F83,IF(E83="Debit",-F83,0))</f>
        <v>7641076</v>
      </c>
      <c r="H83" s="4" t="s">
        <v>64</v>
      </c>
      <c r="I83" s="2" t="s">
        <v>83</v>
      </c>
      <c r="J83" s="2" t="s">
        <v>481</v>
      </c>
      <c r="K83" s="4" t="s">
        <v>85</v>
      </c>
      <c r="L83" s="2" t="s">
        <v>86</v>
      </c>
      <c r="M83" s="4" t="s">
        <v>38</v>
      </c>
      <c r="N83" s="2" t="s">
        <v>482</v>
      </c>
      <c r="O83" s="2" t="s">
        <v>88</v>
      </c>
      <c r="P83" s="2" t="s">
        <v>89</v>
      </c>
      <c r="Q83" s="2"/>
      <c r="R83" s="4" t="s">
        <v>30</v>
      </c>
      <c r="S83" s="5" t="n">
        <v>0</v>
      </c>
      <c r="T83" s="2"/>
    </row>
    <row r="84" customFormat="false" ht="15" hidden="false" customHeight="false" outlineLevel="0" collapsed="false">
      <c r="A84" s="2" t="s">
        <v>483</v>
      </c>
      <c r="B84" s="3" t="n">
        <v>45818</v>
      </c>
      <c r="C84" s="3" t="n">
        <v>45818</v>
      </c>
      <c r="D84" s="2" t="s">
        <v>21</v>
      </c>
      <c r="E84" s="4" t="s">
        <v>33</v>
      </c>
      <c r="F84" s="5" t="n">
        <v>52800</v>
      </c>
      <c r="G84" s="6" t="n">
        <f aca="false">G83+IF(E84="Credit",F84,IF(E84="Debit",-F84,0))</f>
        <v>7588276</v>
      </c>
      <c r="H84" s="4" t="s">
        <v>115</v>
      </c>
      <c r="I84" s="2" t="s">
        <v>116</v>
      </c>
      <c r="J84" s="2" t="s">
        <v>484</v>
      </c>
      <c r="K84" s="4" t="s">
        <v>118</v>
      </c>
      <c r="L84" s="2" t="s">
        <v>119</v>
      </c>
      <c r="M84" s="4" t="s">
        <v>38</v>
      </c>
      <c r="N84" s="2" t="s">
        <v>485</v>
      </c>
      <c r="O84" s="2" t="s">
        <v>121</v>
      </c>
      <c r="P84" s="2" t="s">
        <v>122</v>
      </c>
      <c r="Q84" s="2"/>
      <c r="R84" s="4" t="s">
        <v>30</v>
      </c>
      <c r="S84" s="5" t="n">
        <v>0</v>
      </c>
      <c r="T84" s="2"/>
    </row>
    <row r="85" customFormat="false" ht="15" hidden="false" customHeight="false" outlineLevel="0" collapsed="false">
      <c r="A85" s="2" t="s">
        <v>486</v>
      </c>
      <c r="B85" s="3" t="n">
        <v>45819</v>
      </c>
      <c r="C85" s="3" t="n">
        <v>45819</v>
      </c>
      <c r="D85" s="2" t="s">
        <v>21</v>
      </c>
      <c r="E85" s="4" t="s">
        <v>52</v>
      </c>
      <c r="F85" s="5" t="n">
        <v>248320</v>
      </c>
      <c r="G85" s="6" t="n">
        <f aca="false">G84+IF(E85="Credit",F85,IF(E85="Debit",-F85,0))</f>
        <v>7836596</v>
      </c>
      <c r="H85" s="4" t="s">
        <v>74</v>
      </c>
      <c r="I85" s="2" t="s">
        <v>487</v>
      </c>
      <c r="J85" s="2" t="s">
        <v>488</v>
      </c>
      <c r="K85" s="4" t="s">
        <v>474</v>
      </c>
      <c r="L85" s="2" t="s">
        <v>475</v>
      </c>
      <c r="M85" s="4" t="s">
        <v>58</v>
      </c>
      <c r="N85" s="2" t="s">
        <v>489</v>
      </c>
      <c r="O85" s="2" t="s">
        <v>60</v>
      </c>
      <c r="P85" s="2" t="s">
        <v>477</v>
      </c>
      <c r="Q85" s="2" t="s">
        <v>478</v>
      </c>
      <c r="R85" s="4" t="s">
        <v>30</v>
      </c>
      <c r="S85" s="5" t="n">
        <v>54320</v>
      </c>
      <c r="T85" s="2" t="s">
        <v>490</v>
      </c>
    </row>
    <row r="86" customFormat="false" ht="15" hidden="false" customHeight="false" outlineLevel="0" collapsed="false">
      <c r="A86" s="2" t="s">
        <v>491</v>
      </c>
      <c r="B86" s="3" t="n">
        <v>45820</v>
      </c>
      <c r="C86" s="3" t="n">
        <v>45820</v>
      </c>
      <c r="D86" s="2" t="s">
        <v>21</v>
      </c>
      <c r="E86" s="4" t="s">
        <v>52</v>
      </c>
      <c r="F86" s="5" t="n">
        <v>8400</v>
      </c>
      <c r="G86" s="6" t="n">
        <f aca="false">G85+IF(E86="Credit",F86,IF(E86="Debit",-F86,0))</f>
        <v>7844996</v>
      </c>
      <c r="H86" s="4" t="s">
        <v>53</v>
      </c>
      <c r="I86" s="2" t="s">
        <v>370</v>
      </c>
      <c r="J86" s="2" t="s">
        <v>371</v>
      </c>
      <c r="K86" s="4" t="s">
        <v>67</v>
      </c>
      <c r="L86" s="2" t="s">
        <v>68</v>
      </c>
      <c r="M86" s="4" t="s">
        <v>69</v>
      </c>
      <c r="N86" s="2" t="s">
        <v>492</v>
      </c>
      <c r="O86" s="2" t="s">
        <v>373</v>
      </c>
      <c r="P86" s="2" t="s">
        <v>374</v>
      </c>
      <c r="Q86" s="2"/>
      <c r="R86" s="4" t="s">
        <v>30</v>
      </c>
      <c r="S86" s="5" t="n">
        <v>0</v>
      </c>
      <c r="T86" s="2"/>
    </row>
    <row r="87" customFormat="false" ht="15" hidden="false" customHeight="false" outlineLevel="0" collapsed="false">
      <c r="A87" s="2" t="s">
        <v>493</v>
      </c>
      <c r="B87" s="3" t="n">
        <v>45822</v>
      </c>
      <c r="C87" s="3" t="n">
        <v>45822</v>
      </c>
      <c r="D87" s="2" t="s">
        <v>21</v>
      </c>
      <c r="E87" s="4" t="s">
        <v>33</v>
      </c>
      <c r="F87" s="5" t="n">
        <v>40200</v>
      </c>
      <c r="G87" s="6" t="n">
        <f aca="false">G86+IF(E87="Credit",F87,IF(E87="Debit",-F87,0))</f>
        <v>7804796</v>
      </c>
      <c r="H87" s="4" t="s">
        <v>99</v>
      </c>
      <c r="I87" s="2" t="s">
        <v>139</v>
      </c>
      <c r="J87" s="2" t="s">
        <v>494</v>
      </c>
      <c r="K87" s="4" t="s">
        <v>141</v>
      </c>
      <c r="L87" s="2" t="s">
        <v>142</v>
      </c>
      <c r="M87" s="4" t="s">
        <v>143</v>
      </c>
      <c r="N87" s="2" t="s">
        <v>495</v>
      </c>
      <c r="O87" s="2" t="s">
        <v>145</v>
      </c>
      <c r="P87" s="2" t="s">
        <v>146</v>
      </c>
      <c r="Q87" s="2"/>
      <c r="R87" s="4" t="s">
        <v>30</v>
      </c>
      <c r="S87" s="5" t="n">
        <v>0</v>
      </c>
      <c r="T87" s="2"/>
    </row>
    <row r="88" customFormat="false" ht="15" hidden="false" customHeight="false" outlineLevel="0" collapsed="false">
      <c r="A88" s="2" t="s">
        <v>496</v>
      </c>
      <c r="B88" s="3" t="n">
        <v>45823</v>
      </c>
      <c r="C88" s="3" t="n">
        <v>45823</v>
      </c>
      <c r="D88" s="2" t="s">
        <v>21</v>
      </c>
      <c r="E88" s="4" t="s">
        <v>33</v>
      </c>
      <c r="F88" s="5" t="n">
        <v>37280</v>
      </c>
      <c r="G88" s="6" t="n">
        <f aca="false">G87+IF(E88="Credit",F88,IF(E88="Debit",-F88,0))</f>
        <v>7767516</v>
      </c>
      <c r="H88" s="4" t="s">
        <v>64</v>
      </c>
      <c r="I88" s="2" t="s">
        <v>148</v>
      </c>
      <c r="J88" s="2" t="s">
        <v>497</v>
      </c>
      <c r="K88" s="4" t="s">
        <v>150</v>
      </c>
      <c r="L88" s="2" t="s">
        <v>151</v>
      </c>
      <c r="M88" s="4" t="s">
        <v>38</v>
      </c>
      <c r="N88" s="2" t="s">
        <v>498</v>
      </c>
      <c r="O88" s="2" t="s">
        <v>88</v>
      </c>
      <c r="P88" s="2" t="s">
        <v>153</v>
      </c>
      <c r="Q88" s="2"/>
      <c r="R88" s="4" t="s">
        <v>30</v>
      </c>
      <c r="S88" s="5" t="n">
        <v>0</v>
      </c>
      <c r="T88" s="2"/>
    </row>
    <row r="89" customFormat="false" ht="15" hidden="false" customHeight="false" outlineLevel="0" collapsed="false">
      <c r="A89" s="2" t="s">
        <v>499</v>
      </c>
      <c r="B89" s="3" t="n">
        <v>45823</v>
      </c>
      <c r="C89" s="3" t="n">
        <v>45823</v>
      </c>
      <c r="D89" s="2" t="s">
        <v>21</v>
      </c>
      <c r="E89" s="4" t="s">
        <v>33</v>
      </c>
      <c r="F89" s="5" t="n">
        <v>85500</v>
      </c>
      <c r="G89" s="6" t="n">
        <f aca="false">G88+IF(E89="Credit",F89,IF(E89="Debit",-F89,0))</f>
        <v>7682016</v>
      </c>
      <c r="H89" s="4" t="s">
        <v>99</v>
      </c>
      <c r="I89" s="2" t="s">
        <v>500</v>
      </c>
      <c r="J89" s="2" t="s">
        <v>501</v>
      </c>
      <c r="K89" s="4" t="s">
        <v>502</v>
      </c>
      <c r="L89" s="2" t="s">
        <v>503</v>
      </c>
      <c r="M89" s="4" t="s">
        <v>143</v>
      </c>
      <c r="N89" s="2" t="s">
        <v>504</v>
      </c>
      <c r="O89" s="2" t="s">
        <v>177</v>
      </c>
      <c r="P89" s="2" t="s">
        <v>505</v>
      </c>
      <c r="Q89" s="2"/>
      <c r="R89" s="4" t="s">
        <v>30</v>
      </c>
      <c r="S89" s="5" t="n">
        <v>0</v>
      </c>
      <c r="T89" s="2"/>
    </row>
    <row r="90" customFormat="false" ht="15" hidden="false" customHeight="false" outlineLevel="0" collapsed="false">
      <c r="A90" s="2" t="s">
        <v>506</v>
      </c>
      <c r="B90" s="3" t="n">
        <v>45824</v>
      </c>
      <c r="C90" s="3" t="n">
        <v>45824</v>
      </c>
      <c r="D90" s="2" t="s">
        <v>21</v>
      </c>
      <c r="E90" s="4" t="s">
        <v>52</v>
      </c>
      <c r="F90" s="5" t="n">
        <v>102400</v>
      </c>
      <c r="G90" s="6" t="n">
        <f aca="false">G89+IF(E90="Credit",F90,IF(E90="Debit",-F90,0))</f>
        <v>7784416</v>
      </c>
      <c r="H90" s="4" t="s">
        <v>99</v>
      </c>
      <c r="I90" s="2" t="s">
        <v>507</v>
      </c>
      <c r="J90" s="2" t="s">
        <v>508</v>
      </c>
      <c r="K90" s="4" t="s">
        <v>509</v>
      </c>
      <c r="L90" s="2" t="s">
        <v>510</v>
      </c>
      <c r="M90" s="4" t="s">
        <v>58</v>
      </c>
      <c r="N90" s="2" t="s">
        <v>511</v>
      </c>
      <c r="O90" s="2" t="s">
        <v>60</v>
      </c>
      <c r="P90" s="2" t="s">
        <v>477</v>
      </c>
      <c r="Q90" s="2" t="s">
        <v>512</v>
      </c>
      <c r="R90" s="4" t="s">
        <v>30</v>
      </c>
      <c r="S90" s="5" t="n">
        <v>22400</v>
      </c>
      <c r="T90" s="2" t="s">
        <v>513</v>
      </c>
    </row>
    <row r="91" customFormat="false" ht="15" hidden="false" customHeight="false" outlineLevel="0" collapsed="false">
      <c r="A91" s="2" t="s">
        <v>514</v>
      </c>
      <c r="B91" s="3" t="n">
        <v>45825</v>
      </c>
      <c r="C91" s="3" t="n">
        <v>45825</v>
      </c>
      <c r="D91" s="2" t="s">
        <v>21</v>
      </c>
      <c r="E91" s="4" t="s">
        <v>33</v>
      </c>
      <c r="F91" s="5" t="n">
        <v>2400</v>
      </c>
      <c r="G91" s="6" t="n">
        <f aca="false">G90+IF(E91="Credit",F91,IF(E91="Debit",-F91,0))</f>
        <v>7782016</v>
      </c>
      <c r="H91" s="4" t="s">
        <v>289</v>
      </c>
      <c r="I91" s="2" t="s">
        <v>380</v>
      </c>
      <c r="J91" s="2" t="s">
        <v>381</v>
      </c>
      <c r="K91" s="4" t="s">
        <v>67</v>
      </c>
      <c r="L91" s="2" t="s">
        <v>68</v>
      </c>
      <c r="M91" s="4" t="s">
        <v>69</v>
      </c>
      <c r="N91" s="2" t="s">
        <v>515</v>
      </c>
      <c r="O91" s="2" t="s">
        <v>383</v>
      </c>
      <c r="P91" s="2" t="s">
        <v>384</v>
      </c>
      <c r="Q91" s="2"/>
      <c r="R91" s="4" t="s">
        <v>30</v>
      </c>
      <c r="S91" s="5" t="n">
        <v>0</v>
      </c>
      <c r="T91" s="2"/>
    </row>
    <row r="92" customFormat="false" ht="15" hidden="false" customHeight="false" outlineLevel="0" collapsed="false">
      <c r="A92" s="2" t="s">
        <v>516</v>
      </c>
      <c r="B92" s="3" t="n">
        <v>45827</v>
      </c>
      <c r="C92" s="3" t="n">
        <v>45827</v>
      </c>
      <c r="D92" s="2" t="s">
        <v>21</v>
      </c>
      <c r="E92" s="4" t="s">
        <v>52</v>
      </c>
      <c r="F92" s="5" t="n">
        <v>364000</v>
      </c>
      <c r="G92" s="6" t="n">
        <f aca="false">G91+IF(E92="Credit",F92,IF(E92="Debit",-F92,0))</f>
        <v>8146016</v>
      </c>
      <c r="H92" s="4" t="s">
        <v>53</v>
      </c>
      <c r="I92" s="2" t="s">
        <v>517</v>
      </c>
      <c r="J92" s="2" t="s">
        <v>518</v>
      </c>
      <c r="K92" s="4" t="s">
        <v>519</v>
      </c>
      <c r="L92" s="2" t="s">
        <v>520</v>
      </c>
      <c r="M92" s="4" t="s">
        <v>58</v>
      </c>
      <c r="N92" s="2" t="s">
        <v>521</v>
      </c>
      <c r="O92" s="2" t="s">
        <v>60</v>
      </c>
      <c r="P92" s="2" t="s">
        <v>522</v>
      </c>
      <c r="Q92" s="2" t="s">
        <v>523</v>
      </c>
      <c r="R92" s="4" t="s">
        <v>30</v>
      </c>
      <c r="S92" s="5" t="n">
        <v>55525</v>
      </c>
      <c r="T92" s="2" t="s">
        <v>407</v>
      </c>
    </row>
    <row r="93" customFormat="false" ht="15" hidden="false" customHeight="false" outlineLevel="0" collapsed="false">
      <c r="A93" s="2" t="s">
        <v>524</v>
      </c>
      <c r="B93" s="3" t="n">
        <v>45828</v>
      </c>
      <c r="C93" s="3" t="n">
        <v>45828</v>
      </c>
      <c r="D93" s="2" t="s">
        <v>21</v>
      </c>
      <c r="E93" s="4" t="s">
        <v>33</v>
      </c>
      <c r="F93" s="5" t="n">
        <v>126000</v>
      </c>
      <c r="G93" s="6" t="n">
        <f aca="false">G92+IF(E93="Credit",F93,IF(E93="Debit",-F93,0))</f>
        <v>8020016</v>
      </c>
      <c r="H93" s="4" t="s">
        <v>99</v>
      </c>
      <c r="I93" s="2" t="s">
        <v>172</v>
      </c>
      <c r="J93" s="2" t="s">
        <v>525</v>
      </c>
      <c r="K93" s="4" t="s">
        <v>174</v>
      </c>
      <c r="L93" s="2" t="s">
        <v>175</v>
      </c>
      <c r="M93" s="4" t="s">
        <v>143</v>
      </c>
      <c r="N93" s="2" t="s">
        <v>526</v>
      </c>
      <c r="O93" s="2" t="s">
        <v>177</v>
      </c>
      <c r="P93" s="2" t="s">
        <v>178</v>
      </c>
      <c r="Q93" s="2"/>
      <c r="R93" s="4" t="s">
        <v>30</v>
      </c>
      <c r="S93" s="5" t="n">
        <v>0</v>
      </c>
      <c r="T93" s="2"/>
    </row>
    <row r="94" customFormat="false" ht="15" hidden="false" customHeight="false" outlineLevel="0" collapsed="false">
      <c r="A94" s="2" t="s">
        <v>527</v>
      </c>
      <c r="B94" s="3" t="n">
        <v>45828</v>
      </c>
      <c r="C94" s="3" t="n">
        <v>45828</v>
      </c>
      <c r="D94" s="2" t="s">
        <v>21</v>
      </c>
      <c r="E94" s="4" t="s">
        <v>33</v>
      </c>
      <c r="F94" s="5" t="n">
        <v>52900</v>
      </c>
      <c r="G94" s="6" t="n">
        <f aca="false">G93+IF(E94="Credit",F94,IF(E94="Debit",-F94,0))</f>
        <v>7967116</v>
      </c>
      <c r="H94" s="4" t="s">
        <v>34</v>
      </c>
      <c r="I94" s="2" t="s">
        <v>528</v>
      </c>
      <c r="J94" s="2" t="s">
        <v>528</v>
      </c>
      <c r="K94" s="4" t="s">
        <v>133</v>
      </c>
      <c r="L94" s="2" t="s">
        <v>134</v>
      </c>
      <c r="M94" s="4" t="s">
        <v>38</v>
      </c>
      <c r="N94" s="2" t="s">
        <v>529</v>
      </c>
      <c r="O94" s="2" t="s">
        <v>136</v>
      </c>
      <c r="P94" s="2" t="s">
        <v>137</v>
      </c>
      <c r="Q94" s="2"/>
      <c r="R94" s="4" t="s">
        <v>30</v>
      </c>
      <c r="S94" s="5" t="n">
        <v>0</v>
      </c>
      <c r="T94" s="2"/>
    </row>
    <row r="95" customFormat="false" ht="15" hidden="false" customHeight="false" outlineLevel="0" collapsed="false">
      <c r="A95" s="2" t="s">
        <v>530</v>
      </c>
      <c r="B95" s="3" t="n">
        <v>45830</v>
      </c>
      <c r="C95" s="3" t="n">
        <v>45830</v>
      </c>
      <c r="D95" s="2" t="s">
        <v>21</v>
      </c>
      <c r="E95" s="4" t="s">
        <v>52</v>
      </c>
      <c r="F95" s="5" t="n">
        <v>154880</v>
      </c>
      <c r="G95" s="6" t="n">
        <f aca="false">G94+IF(E95="Credit",F95,IF(E95="Debit",-F95,0))</f>
        <v>8121996</v>
      </c>
      <c r="H95" s="4" t="s">
        <v>53</v>
      </c>
      <c r="I95" s="2" t="s">
        <v>531</v>
      </c>
      <c r="J95" s="2" t="s">
        <v>532</v>
      </c>
      <c r="K95" s="4" t="s">
        <v>533</v>
      </c>
      <c r="L95" s="2" t="s">
        <v>534</v>
      </c>
      <c r="M95" s="4" t="s">
        <v>58</v>
      </c>
      <c r="N95" s="2" t="s">
        <v>535</v>
      </c>
      <c r="O95" s="2" t="s">
        <v>60</v>
      </c>
      <c r="P95" s="2" t="s">
        <v>536</v>
      </c>
      <c r="Q95" s="2" t="s">
        <v>537</v>
      </c>
      <c r="R95" s="4" t="s">
        <v>30</v>
      </c>
      <c r="S95" s="5" t="n">
        <v>33880</v>
      </c>
      <c r="T95" s="2"/>
    </row>
    <row r="96" customFormat="false" ht="15" hidden="false" customHeight="false" outlineLevel="0" collapsed="false">
      <c r="A96" s="2" t="s">
        <v>538</v>
      </c>
      <c r="B96" s="3" t="n">
        <v>45830</v>
      </c>
      <c r="C96" s="3" t="n">
        <v>45831</v>
      </c>
      <c r="D96" s="2" t="s">
        <v>21</v>
      </c>
      <c r="E96" s="4" t="s">
        <v>52</v>
      </c>
      <c r="F96" s="5" t="n">
        <v>102400</v>
      </c>
      <c r="G96" s="6" t="n">
        <f aca="false">G95+IF(E96="Credit",F96,IF(E96="Debit",-F96,0))</f>
        <v>8224396</v>
      </c>
      <c r="H96" s="4" t="s">
        <v>348</v>
      </c>
      <c r="I96" s="2" t="s">
        <v>539</v>
      </c>
      <c r="J96" s="2" t="s">
        <v>540</v>
      </c>
      <c r="K96" s="4" t="s">
        <v>509</v>
      </c>
      <c r="L96" s="2" t="s">
        <v>510</v>
      </c>
      <c r="M96" s="4" t="s">
        <v>58</v>
      </c>
      <c r="N96" s="2" t="s">
        <v>541</v>
      </c>
      <c r="O96" s="2" t="s">
        <v>60</v>
      </c>
      <c r="P96" s="2" t="s">
        <v>477</v>
      </c>
      <c r="Q96" s="2" t="s">
        <v>512</v>
      </c>
      <c r="R96" s="4" t="s">
        <v>30</v>
      </c>
      <c r="S96" s="5" t="n">
        <v>22400</v>
      </c>
      <c r="T96" s="2" t="s">
        <v>542</v>
      </c>
    </row>
    <row r="97" customFormat="false" ht="15" hidden="false" customHeight="false" outlineLevel="0" collapsed="false">
      <c r="A97" s="2" t="s">
        <v>543</v>
      </c>
      <c r="B97" s="3" t="n">
        <v>45831</v>
      </c>
      <c r="C97" s="3" t="n">
        <v>45831</v>
      </c>
      <c r="D97" s="2" t="s">
        <v>21</v>
      </c>
      <c r="E97" s="4" t="s">
        <v>33</v>
      </c>
      <c r="F97" s="5" t="n">
        <v>300</v>
      </c>
      <c r="G97" s="6" t="n">
        <f aca="false">G96+IF(E97="Credit",F97,IF(E97="Debit",-F97,0))</f>
        <v>8224096</v>
      </c>
      <c r="H97" s="4" t="s">
        <v>53</v>
      </c>
      <c r="I97" s="2" t="s">
        <v>214</v>
      </c>
      <c r="J97" s="2" t="s">
        <v>544</v>
      </c>
      <c r="K97" s="4" t="s">
        <v>67</v>
      </c>
      <c r="L97" s="2" t="s">
        <v>68</v>
      </c>
      <c r="M97" s="4" t="s">
        <v>69</v>
      </c>
      <c r="N97" s="2" t="s">
        <v>545</v>
      </c>
      <c r="O97" s="2" t="s">
        <v>96</v>
      </c>
      <c r="P97" s="2" t="s">
        <v>217</v>
      </c>
      <c r="Q97" s="2"/>
      <c r="R97" s="4" t="s">
        <v>30</v>
      </c>
      <c r="S97" s="5" t="n">
        <v>0</v>
      </c>
      <c r="T97" s="2"/>
    </row>
    <row r="98" customFormat="false" ht="15" hidden="false" customHeight="false" outlineLevel="0" collapsed="false">
      <c r="A98" s="2" t="s">
        <v>546</v>
      </c>
      <c r="B98" s="3" t="n">
        <v>45832</v>
      </c>
      <c r="C98" s="3" t="n">
        <v>45832</v>
      </c>
      <c r="D98" s="2" t="s">
        <v>21</v>
      </c>
      <c r="E98" s="4" t="s">
        <v>33</v>
      </c>
      <c r="F98" s="5" t="n">
        <v>39648</v>
      </c>
      <c r="G98" s="6" t="n">
        <f aca="false">G97+IF(E98="Credit",F98,IF(E98="Debit",-F98,0))</f>
        <v>8184448</v>
      </c>
      <c r="H98" s="4" t="s">
        <v>180</v>
      </c>
      <c r="I98" s="2" t="s">
        <v>547</v>
      </c>
      <c r="J98" s="2" t="s">
        <v>548</v>
      </c>
      <c r="K98" s="4" t="s">
        <v>549</v>
      </c>
      <c r="L98" s="2" t="s">
        <v>550</v>
      </c>
      <c r="M98" s="4" t="s">
        <v>38</v>
      </c>
      <c r="N98" s="2" t="s">
        <v>551</v>
      </c>
      <c r="O98" s="2" t="s">
        <v>160</v>
      </c>
      <c r="P98" s="2" t="s">
        <v>552</v>
      </c>
      <c r="Q98" s="2" t="s">
        <v>553</v>
      </c>
      <c r="R98" s="4" t="s">
        <v>30</v>
      </c>
      <c r="S98" s="5" t="n">
        <v>6048</v>
      </c>
      <c r="T98" s="2"/>
    </row>
    <row r="99" customFormat="false" ht="15" hidden="false" customHeight="false" outlineLevel="0" collapsed="false">
      <c r="A99" s="2" t="s">
        <v>554</v>
      </c>
      <c r="B99" s="3" t="n">
        <v>45835</v>
      </c>
      <c r="C99" s="3" t="n">
        <v>45835</v>
      </c>
      <c r="D99" s="2" t="s">
        <v>21</v>
      </c>
      <c r="E99" s="4" t="s">
        <v>33</v>
      </c>
      <c r="F99" s="5" t="n">
        <v>7300</v>
      </c>
      <c r="G99" s="6" t="n">
        <f aca="false">G98+IF(E99="Credit",F99,IF(E99="Debit",-F99,0))</f>
        <v>8177148</v>
      </c>
      <c r="H99" s="4" t="s">
        <v>99</v>
      </c>
      <c r="I99" s="2" t="s">
        <v>555</v>
      </c>
      <c r="J99" s="2" t="s">
        <v>556</v>
      </c>
      <c r="K99" s="4" t="s">
        <v>126</v>
      </c>
      <c r="L99" s="2" t="s">
        <v>127</v>
      </c>
      <c r="M99" s="4" t="s">
        <v>38</v>
      </c>
      <c r="N99" s="2" t="s">
        <v>557</v>
      </c>
      <c r="O99" s="2" t="s">
        <v>160</v>
      </c>
      <c r="P99" s="2" t="s">
        <v>558</v>
      </c>
      <c r="Q99" s="2" t="s">
        <v>559</v>
      </c>
      <c r="R99" s="4" t="s">
        <v>30</v>
      </c>
      <c r="S99" s="5" t="n">
        <v>1114</v>
      </c>
      <c r="T99" s="2" t="s">
        <v>188</v>
      </c>
    </row>
    <row r="100" customFormat="false" ht="15" hidden="false" customHeight="false" outlineLevel="0" collapsed="false">
      <c r="A100" s="2" t="s">
        <v>560</v>
      </c>
      <c r="B100" s="3" t="n">
        <v>45835</v>
      </c>
      <c r="C100" s="3" t="n">
        <v>45835</v>
      </c>
      <c r="D100" s="2" t="s">
        <v>21</v>
      </c>
      <c r="E100" s="4" t="s">
        <v>33</v>
      </c>
      <c r="F100" s="5" t="n">
        <v>9000</v>
      </c>
      <c r="G100" s="6" t="n">
        <f aca="false">G99+IF(E100="Credit",F100,IF(E100="Debit",-F100,0))</f>
        <v>8168148</v>
      </c>
      <c r="H100" s="4" t="s">
        <v>115</v>
      </c>
      <c r="I100" s="2" t="s">
        <v>561</v>
      </c>
      <c r="J100" s="2" t="s">
        <v>562</v>
      </c>
      <c r="K100" s="4" t="s">
        <v>126</v>
      </c>
      <c r="L100" s="2" t="s">
        <v>127</v>
      </c>
      <c r="M100" s="4" t="s">
        <v>38</v>
      </c>
      <c r="N100" s="2" t="s">
        <v>563</v>
      </c>
      <c r="O100" s="2" t="s">
        <v>129</v>
      </c>
      <c r="P100" s="2" t="s">
        <v>130</v>
      </c>
      <c r="Q100" s="2"/>
      <c r="R100" s="4" t="s">
        <v>30</v>
      </c>
      <c r="S100" s="5" t="n">
        <v>0</v>
      </c>
      <c r="T100" s="2"/>
    </row>
    <row r="101" customFormat="false" ht="15" hidden="false" customHeight="false" outlineLevel="0" collapsed="false">
      <c r="A101" s="2" t="s">
        <v>564</v>
      </c>
      <c r="B101" s="3" t="n">
        <v>45838</v>
      </c>
      <c r="C101" s="3" t="n">
        <v>45838</v>
      </c>
      <c r="D101" s="2" t="s">
        <v>21</v>
      </c>
      <c r="E101" s="4" t="s">
        <v>33</v>
      </c>
      <c r="F101" s="5" t="n">
        <v>68100</v>
      </c>
      <c r="G101" s="6" t="n">
        <f aca="false">G100+IF(E101="Credit",F101,IF(E101="Debit",-F101,0))</f>
        <v>8100048</v>
      </c>
      <c r="H101" s="4" t="s">
        <v>53</v>
      </c>
      <c r="I101" s="2" t="s">
        <v>219</v>
      </c>
      <c r="J101" s="2" t="s">
        <v>565</v>
      </c>
      <c r="K101" s="4" t="s">
        <v>221</v>
      </c>
      <c r="L101" s="2" t="s">
        <v>222</v>
      </c>
      <c r="M101" s="4" t="s">
        <v>223</v>
      </c>
      <c r="N101" s="2" t="s">
        <v>566</v>
      </c>
      <c r="O101" s="2" t="s">
        <v>225</v>
      </c>
      <c r="P101" s="2" t="s">
        <v>226</v>
      </c>
      <c r="Q101" s="2"/>
      <c r="R101" s="4" t="s">
        <v>30</v>
      </c>
      <c r="S101" s="5" t="n">
        <v>0</v>
      </c>
      <c r="T101" s="2"/>
    </row>
    <row r="102" customFormat="false" ht="15" hidden="false" customHeight="false" outlineLevel="0" collapsed="false">
      <c r="A102" s="2" t="s">
        <v>567</v>
      </c>
      <c r="B102" s="3" t="n">
        <v>45838</v>
      </c>
      <c r="C102" s="3" t="n">
        <v>45838</v>
      </c>
      <c r="D102" s="2" t="s">
        <v>21</v>
      </c>
      <c r="E102" s="4" t="s">
        <v>33</v>
      </c>
      <c r="F102" s="5" t="n">
        <v>90600</v>
      </c>
      <c r="G102" s="6" t="n">
        <f aca="false">G101+IF(E102="Credit",F102,IF(E102="Debit",-F102,0))</f>
        <v>8009448</v>
      </c>
      <c r="H102" s="4" t="s">
        <v>53</v>
      </c>
      <c r="I102" s="2" t="s">
        <v>228</v>
      </c>
      <c r="J102" s="2" t="s">
        <v>565</v>
      </c>
      <c r="K102" s="4" t="s">
        <v>229</v>
      </c>
      <c r="L102" s="2" t="s">
        <v>230</v>
      </c>
      <c r="M102" s="4" t="s">
        <v>223</v>
      </c>
      <c r="N102" s="2" t="s">
        <v>568</v>
      </c>
      <c r="O102" s="2" t="s">
        <v>225</v>
      </c>
      <c r="P102" s="2" t="s">
        <v>226</v>
      </c>
      <c r="Q102" s="2"/>
      <c r="R102" s="4" t="s">
        <v>30</v>
      </c>
      <c r="S102" s="5" t="n">
        <v>0</v>
      </c>
      <c r="T102" s="2"/>
    </row>
    <row r="103" customFormat="false" ht="15" hidden="false" customHeight="false" outlineLevel="0" collapsed="false">
      <c r="A103" s="2" t="s">
        <v>569</v>
      </c>
      <c r="B103" s="3" t="n">
        <v>45838</v>
      </c>
      <c r="C103" s="3" t="n">
        <v>45838</v>
      </c>
      <c r="D103" s="2" t="s">
        <v>21</v>
      </c>
      <c r="E103" s="4" t="s">
        <v>33</v>
      </c>
      <c r="F103" s="5" t="n">
        <v>115800</v>
      </c>
      <c r="G103" s="6" t="n">
        <f aca="false">G102+IF(E103="Credit",F103,IF(E103="Debit",-F103,0))</f>
        <v>7893648</v>
      </c>
      <c r="H103" s="4" t="s">
        <v>53</v>
      </c>
      <c r="I103" s="2" t="s">
        <v>233</v>
      </c>
      <c r="J103" s="2" t="s">
        <v>565</v>
      </c>
      <c r="K103" s="4" t="s">
        <v>234</v>
      </c>
      <c r="L103" s="2" t="s">
        <v>235</v>
      </c>
      <c r="M103" s="4" t="s">
        <v>223</v>
      </c>
      <c r="N103" s="2" t="s">
        <v>570</v>
      </c>
      <c r="O103" s="2" t="s">
        <v>225</v>
      </c>
      <c r="P103" s="2" t="s">
        <v>237</v>
      </c>
      <c r="Q103" s="2"/>
      <c r="R103" s="4" t="s">
        <v>30</v>
      </c>
      <c r="S103" s="5" t="n">
        <v>0</v>
      </c>
      <c r="T103" s="2"/>
    </row>
    <row r="104" customFormat="false" ht="15" hidden="false" customHeight="false" outlineLevel="0" collapsed="false">
      <c r="A104" s="2" t="s">
        <v>571</v>
      </c>
      <c r="B104" s="3" t="n">
        <v>45838</v>
      </c>
      <c r="C104" s="3" t="n">
        <v>45838</v>
      </c>
      <c r="D104" s="2" t="s">
        <v>21</v>
      </c>
      <c r="E104" s="4" t="s">
        <v>33</v>
      </c>
      <c r="F104" s="5" t="n">
        <v>73000</v>
      </c>
      <c r="G104" s="6" t="n">
        <f aca="false">G103+IF(E104="Credit",F104,IF(E104="Debit",-F104,0))</f>
        <v>7820648</v>
      </c>
      <c r="H104" s="4" t="s">
        <v>53</v>
      </c>
      <c r="I104" s="2" t="s">
        <v>239</v>
      </c>
      <c r="J104" s="2" t="s">
        <v>565</v>
      </c>
      <c r="K104" s="4" t="s">
        <v>240</v>
      </c>
      <c r="L104" s="2" t="s">
        <v>241</v>
      </c>
      <c r="M104" s="4" t="s">
        <v>223</v>
      </c>
      <c r="N104" s="2" t="s">
        <v>572</v>
      </c>
      <c r="O104" s="2" t="s">
        <v>225</v>
      </c>
      <c r="P104" s="2" t="s">
        <v>243</v>
      </c>
      <c r="Q104" s="2"/>
      <c r="R104" s="4" t="s">
        <v>30</v>
      </c>
      <c r="S104" s="5" t="n">
        <v>0</v>
      </c>
      <c r="T104" s="2"/>
    </row>
    <row r="105" customFormat="false" ht="15" hidden="false" customHeight="false" outlineLevel="0" collapsed="false">
      <c r="A105" s="2" t="s">
        <v>573</v>
      </c>
      <c r="B105" s="3" t="n">
        <v>45838</v>
      </c>
      <c r="C105" s="3" t="n">
        <v>45838</v>
      </c>
      <c r="D105" s="2" t="s">
        <v>21</v>
      </c>
      <c r="E105" s="4" t="s">
        <v>33</v>
      </c>
      <c r="F105" s="5" t="n">
        <v>96000</v>
      </c>
      <c r="G105" s="6" t="n">
        <f aca="false">G104+IF(E105="Credit",F105,IF(E105="Debit",-F105,0))</f>
        <v>7724648</v>
      </c>
      <c r="H105" s="4" t="s">
        <v>53</v>
      </c>
      <c r="I105" s="2" t="s">
        <v>245</v>
      </c>
      <c r="J105" s="2" t="s">
        <v>565</v>
      </c>
      <c r="K105" s="4" t="s">
        <v>246</v>
      </c>
      <c r="L105" s="2" t="s">
        <v>247</v>
      </c>
      <c r="M105" s="4" t="s">
        <v>223</v>
      </c>
      <c r="N105" s="2" t="s">
        <v>574</v>
      </c>
      <c r="O105" s="2" t="s">
        <v>225</v>
      </c>
      <c r="P105" s="2" t="s">
        <v>226</v>
      </c>
      <c r="Q105" s="2"/>
      <c r="R105" s="4" t="s">
        <v>30</v>
      </c>
      <c r="S105" s="5" t="n">
        <v>0</v>
      </c>
      <c r="T105" s="2"/>
    </row>
    <row r="106" customFormat="false" ht="15" hidden="false" customHeight="false" outlineLevel="0" collapsed="false">
      <c r="A106" s="2" t="s">
        <v>575</v>
      </c>
      <c r="B106" s="3" t="n">
        <v>45838</v>
      </c>
      <c r="C106" s="3" t="n">
        <v>45838</v>
      </c>
      <c r="D106" s="2" t="s">
        <v>21</v>
      </c>
      <c r="E106" s="4" t="s">
        <v>33</v>
      </c>
      <c r="F106" s="5" t="n">
        <v>62500</v>
      </c>
      <c r="G106" s="6" t="n">
        <f aca="false">G105+IF(E106="Credit",F106,IF(E106="Debit",-F106,0))</f>
        <v>7662148</v>
      </c>
      <c r="H106" s="4" t="s">
        <v>53</v>
      </c>
      <c r="I106" s="2" t="s">
        <v>250</v>
      </c>
      <c r="J106" s="2" t="s">
        <v>565</v>
      </c>
      <c r="K106" s="4" t="s">
        <v>251</v>
      </c>
      <c r="L106" s="2" t="s">
        <v>252</v>
      </c>
      <c r="M106" s="4" t="s">
        <v>223</v>
      </c>
      <c r="N106" s="2" t="s">
        <v>576</v>
      </c>
      <c r="O106" s="2" t="s">
        <v>225</v>
      </c>
      <c r="P106" s="2" t="s">
        <v>226</v>
      </c>
      <c r="Q106" s="2"/>
      <c r="R106" s="4" t="s">
        <v>30</v>
      </c>
      <c r="S106" s="5" t="n">
        <v>0</v>
      </c>
      <c r="T106" s="2"/>
    </row>
    <row r="107" customFormat="false" ht="15" hidden="false" customHeight="false" outlineLevel="0" collapsed="false">
      <c r="A107" s="2" t="s">
        <v>577</v>
      </c>
      <c r="B107" s="3" t="n">
        <v>45838</v>
      </c>
      <c r="C107" s="3" t="n">
        <v>45838</v>
      </c>
      <c r="D107" s="2" t="s">
        <v>21</v>
      </c>
      <c r="E107" s="4" t="s">
        <v>33</v>
      </c>
      <c r="F107" s="5" t="n">
        <v>77700</v>
      </c>
      <c r="G107" s="6" t="n">
        <f aca="false">G106+IF(E107="Credit",F107,IF(E107="Debit",-F107,0))</f>
        <v>7584448</v>
      </c>
      <c r="H107" s="4" t="s">
        <v>53</v>
      </c>
      <c r="I107" s="2" t="s">
        <v>255</v>
      </c>
      <c r="J107" s="2" t="s">
        <v>565</v>
      </c>
      <c r="K107" s="4" t="s">
        <v>256</v>
      </c>
      <c r="L107" s="2" t="s">
        <v>257</v>
      </c>
      <c r="M107" s="4" t="s">
        <v>223</v>
      </c>
      <c r="N107" s="2" t="s">
        <v>578</v>
      </c>
      <c r="O107" s="2" t="s">
        <v>225</v>
      </c>
      <c r="P107" s="2" t="s">
        <v>237</v>
      </c>
      <c r="Q107" s="2"/>
      <c r="R107" s="4" t="s">
        <v>30</v>
      </c>
      <c r="S107" s="5" t="n">
        <v>0</v>
      </c>
      <c r="T107" s="2"/>
    </row>
    <row r="108" customFormat="false" ht="15" hidden="false" customHeight="false" outlineLevel="0" collapsed="false">
      <c r="A108" s="2" t="s">
        <v>579</v>
      </c>
      <c r="B108" s="3" t="n">
        <v>45838</v>
      </c>
      <c r="C108" s="3" t="n">
        <v>45838</v>
      </c>
      <c r="D108" s="2" t="s">
        <v>21</v>
      </c>
      <c r="E108" s="4" t="s">
        <v>33</v>
      </c>
      <c r="F108" s="5" t="n">
        <v>84900</v>
      </c>
      <c r="G108" s="6" t="n">
        <f aca="false">G107+IF(E108="Credit",F108,IF(E108="Debit",-F108,0))</f>
        <v>7499548</v>
      </c>
      <c r="H108" s="4" t="s">
        <v>53</v>
      </c>
      <c r="I108" s="2" t="s">
        <v>260</v>
      </c>
      <c r="J108" s="2" t="s">
        <v>565</v>
      </c>
      <c r="K108" s="4" t="s">
        <v>261</v>
      </c>
      <c r="L108" s="2" t="s">
        <v>262</v>
      </c>
      <c r="M108" s="4" t="s">
        <v>223</v>
      </c>
      <c r="N108" s="2" t="s">
        <v>580</v>
      </c>
      <c r="O108" s="2" t="s">
        <v>225</v>
      </c>
      <c r="P108" s="2" t="s">
        <v>264</v>
      </c>
      <c r="Q108" s="2"/>
      <c r="R108" s="4" t="s">
        <v>30</v>
      </c>
      <c r="S108" s="5" t="n">
        <v>0</v>
      </c>
      <c r="T108" s="2"/>
    </row>
    <row r="109" customFormat="false" ht="15" hidden="false" customHeight="false" outlineLevel="0" collapsed="false">
      <c r="A109" s="2" t="s">
        <v>581</v>
      </c>
      <c r="B109" s="3" t="n">
        <v>45838</v>
      </c>
      <c r="C109" s="3" t="n">
        <v>45838</v>
      </c>
      <c r="D109" s="2" t="s">
        <v>21</v>
      </c>
      <c r="E109" s="4" t="s">
        <v>33</v>
      </c>
      <c r="F109" s="5" t="n">
        <v>59000</v>
      </c>
      <c r="G109" s="6" t="n">
        <f aca="false">G108+IF(E109="Credit",F109,IF(E109="Debit",-F109,0))</f>
        <v>7440548</v>
      </c>
      <c r="H109" s="4" t="s">
        <v>53</v>
      </c>
      <c r="I109" s="2" t="s">
        <v>266</v>
      </c>
      <c r="J109" s="2" t="s">
        <v>565</v>
      </c>
      <c r="K109" s="4" t="s">
        <v>267</v>
      </c>
      <c r="L109" s="2" t="s">
        <v>268</v>
      </c>
      <c r="M109" s="4" t="s">
        <v>223</v>
      </c>
      <c r="N109" s="2" t="s">
        <v>582</v>
      </c>
      <c r="O109" s="2" t="s">
        <v>225</v>
      </c>
      <c r="P109" s="2" t="s">
        <v>270</v>
      </c>
      <c r="Q109" s="2"/>
      <c r="R109" s="4" t="s">
        <v>30</v>
      </c>
      <c r="S109" s="5" t="n">
        <v>0</v>
      </c>
      <c r="T109" s="2"/>
    </row>
    <row r="110" customFormat="false" ht="15" hidden="false" customHeight="false" outlineLevel="0" collapsed="false">
      <c r="A110" s="2" t="s">
        <v>583</v>
      </c>
      <c r="B110" s="3" t="n">
        <v>45838</v>
      </c>
      <c r="C110" s="3" t="n">
        <v>45838</v>
      </c>
      <c r="D110" s="2" t="s">
        <v>21</v>
      </c>
      <c r="E110" s="4" t="s">
        <v>33</v>
      </c>
      <c r="F110" s="5" t="n">
        <v>83300</v>
      </c>
      <c r="G110" s="6" t="n">
        <f aca="false">G109+IF(E110="Credit",F110,IF(E110="Debit",-F110,0))</f>
        <v>7357248</v>
      </c>
      <c r="H110" s="4" t="s">
        <v>53</v>
      </c>
      <c r="I110" s="2" t="s">
        <v>272</v>
      </c>
      <c r="J110" s="2" t="s">
        <v>565</v>
      </c>
      <c r="K110" s="4" t="s">
        <v>273</v>
      </c>
      <c r="L110" s="2" t="s">
        <v>274</v>
      </c>
      <c r="M110" s="4" t="s">
        <v>223</v>
      </c>
      <c r="N110" s="2" t="s">
        <v>584</v>
      </c>
      <c r="O110" s="2" t="s">
        <v>225</v>
      </c>
      <c r="P110" s="2" t="s">
        <v>276</v>
      </c>
      <c r="Q110" s="2"/>
      <c r="R110" s="4" t="s">
        <v>30</v>
      </c>
      <c r="S110" s="5" t="n">
        <v>0</v>
      </c>
      <c r="T110" s="2"/>
    </row>
    <row r="111" customFormat="false" ht="15" hidden="false" customHeight="false" outlineLevel="0" collapsed="false">
      <c r="A111" s="2" t="s">
        <v>585</v>
      </c>
      <c r="B111" s="3" t="n">
        <v>45838</v>
      </c>
      <c r="C111" s="3" t="n">
        <v>45838</v>
      </c>
      <c r="D111" s="2" t="s">
        <v>21</v>
      </c>
      <c r="E111" s="4" t="s">
        <v>33</v>
      </c>
      <c r="F111" s="5" t="n">
        <v>136300</v>
      </c>
      <c r="G111" s="6" t="n">
        <f aca="false">G110+IF(E111="Credit",F111,IF(E111="Debit",-F111,0))</f>
        <v>7220948</v>
      </c>
      <c r="H111" s="4" t="s">
        <v>53</v>
      </c>
      <c r="I111" s="2" t="s">
        <v>278</v>
      </c>
      <c r="J111" s="2" t="s">
        <v>565</v>
      </c>
      <c r="K111" s="4" t="s">
        <v>279</v>
      </c>
      <c r="L111" s="2" t="s">
        <v>280</v>
      </c>
      <c r="M111" s="4" t="s">
        <v>223</v>
      </c>
      <c r="N111" s="2" t="s">
        <v>586</v>
      </c>
      <c r="O111" s="2" t="s">
        <v>225</v>
      </c>
      <c r="P111" s="2" t="s">
        <v>226</v>
      </c>
      <c r="Q111" s="2"/>
      <c r="R111" s="4" t="s">
        <v>30</v>
      </c>
      <c r="S111" s="5" t="n">
        <v>0</v>
      </c>
      <c r="T111" s="2"/>
    </row>
    <row r="112" customFormat="false" ht="15" hidden="false" customHeight="false" outlineLevel="0" collapsed="false">
      <c r="A112" s="2" t="s">
        <v>587</v>
      </c>
      <c r="B112" s="3" t="n">
        <v>45838</v>
      </c>
      <c r="C112" s="3" t="n">
        <v>45838</v>
      </c>
      <c r="D112" s="2" t="s">
        <v>21</v>
      </c>
      <c r="E112" s="4" t="s">
        <v>33</v>
      </c>
      <c r="F112" s="5" t="n">
        <v>54800</v>
      </c>
      <c r="G112" s="6" t="n">
        <f aca="false">G111+IF(E112="Credit",F112,IF(E112="Debit",-F112,0))</f>
        <v>7166148</v>
      </c>
      <c r="H112" s="4" t="s">
        <v>53</v>
      </c>
      <c r="I112" s="2" t="s">
        <v>283</v>
      </c>
      <c r="J112" s="2" t="s">
        <v>565</v>
      </c>
      <c r="K112" s="4" t="s">
        <v>284</v>
      </c>
      <c r="L112" s="2" t="s">
        <v>285</v>
      </c>
      <c r="M112" s="4" t="s">
        <v>223</v>
      </c>
      <c r="N112" s="2" t="s">
        <v>588</v>
      </c>
      <c r="O112" s="2" t="s">
        <v>225</v>
      </c>
      <c r="P112" s="2" t="s">
        <v>287</v>
      </c>
      <c r="Q112" s="2"/>
      <c r="R112" s="4" t="s">
        <v>30</v>
      </c>
      <c r="S112" s="5" t="n">
        <v>0</v>
      </c>
      <c r="T112" s="2"/>
    </row>
    <row r="113" customFormat="false" ht="15" hidden="false" customHeight="false" outlineLevel="0" collapsed="false">
      <c r="A113" s="2" t="s">
        <v>589</v>
      </c>
      <c r="B113" s="3" t="n">
        <v>45839</v>
      </c>
      <c r="C113" s="3" t="n">
        <v>45839</v>
      </c>
      <c r="D113" s="2" t="s">
        <v>21</v>
      </c>
      <c r="E113" s="4" t="s">
        <v>33</v>
      </c>
      <c r="F113" s="5" t="n">
        <v>66700</v>
      </c>
      <c r="G113" s="6" t="n">
        <f aca="false">G112+IF(E113="Credit",F113,IF(E113="Debit",-F113,0))</f>
        <v>7099448</v>
      </c>
      <c r="H113" s="4" t="s">
        <v>53</v>
      </c>
      <c r="I113" s="2" t="s">
        <v>219</v>
      </c>
      <c r="J113" s="2" t="s">
        <v>590</v>
      </c>
      <c r="K113" s="4" t="s">
        <v>221</v>
      </c>
      <c r="L113" s="2" t="s">
        <v>222</v>
      </c>
      <c r="M113" s="4" t="s">
        <v>223</v>
      </c>
      <c r="N113" s="2" t="s">
        <v>591</v>
      </c>
      <c r="O113" s="2" t="s">
        <v>225</v>
      </c>
      <c r="P113" s="2" t="s">
        <v>226</v>
      </c>
      <c r="Q113" s="2"/>
      <c r="R113" s="4" t="s">
        <v>30</v>
      </c>
      <c r="S113" s="5" t="n">
        <v>0</v>
      </c>
      <c r="T113" s="2"/>
    </row>
    <row r="114" customFormat="false" ht="15" hidden="false" customHeight="false" outlineLevel="0" collapsed="false">
      <c r="A114" s="2" t="s">
        <v>592</v>
      </c>
      <c r="B114" s="3" t="n">
        <v>45839</v>
      </c>
      <c r="C114" s="3" t="n">
        <v>45839</v>
      </c>
      <c r="D114" s="2" t="s">
        <v>21</v>
      </c>
      <c r="E114" s="4" t="s">
        <v>33</v>
      </c>
      <c r="F114" s="5" t="n">
        <v>93200</v>
      </c>
      <c r="G114" s="6" t="n">
        <f aca="false">G113+IF(E114="Credit",F114,IF(E114="Debit",-F114,0))</f>
        <v>7006248</v>
      </c>
      <c r="H114" s="4" t="s">
        <v>53</v>
      </c>
      <c r="I114" s="2" t="s">
        <v>228</v>
      </c>
      <c r="J114" s="2" t="s">
        <v>590</v>
      </c>
      <c r="K114" s="4" t="s">
        <v>229</v>
      </c>
      <c r="L114" s="2" t="s">
        <v>230</v>
      </c>
      <c r="M114" s="4" t="s">
        <v>223</v>
      </c>
      <c r="N114" s="2" t="s">
        <v>593</v>
      </c>
      <c r="O114" s="2" t="s">
        <v>225</v>
      </c>
      <c r="P114" s="2" t="s">
        <v>226</v>
      </c>
      <c r="Q114" s="2"/>
      <c r="R114" s="4" t="s">
        <v>30</v>
      </c>
      <c r="S114" s="5" t="n">
        <v>0</v>
      </c>
      <c r="T114" s="2"/>
    </row>
    <row r="115" customFormat="false" ht="15" hidden="false" customHeight="false" outlineLevel="0" collapsed="false">
      <c r="A115" s="2" t="s">
        <v>594</v>
      </c>
      <c r="B115" s="3" t="n">
        <v>45839</v>
      </c>
      <c r="C115" s="3" t="n">
        <v>45839</v>
      </c>
      <c r="D115" s="2" t="s">
        <v>21</v>
      </c>
      <c r="E115" s="4" t="s">
        <v>33</v>
      </c>
      <c r="F115" s="5" t="n">
        <v>119100</v>
      </c>
      <c r="G115" s="6" t="n">
        <f aca="false">G114+IF(E115="Credit",F115,IF(E115="Debit",-F115,0))</f>
        <v>6887148</v>
      </c>
      <c r="H115" s="4" t="s">
        <v>53</v>
      </c>
      <c r="I115" s="2" t="s">
        <v>233</v>
      </c>
      <c r="J115" s="2" t="s">
        <v>590</v>
      </c>
      <c r="K115" s="4" t="s">
        <v>234</v>
      </c>
      <c r="L115" s="2" t="s">
        <v>235</v>
      </c>
      <c r="M115" s="4" t="s">
        <v>223</v>
      </c>
      <c r="N115" s="2" t="s">
        <v>595</v>
      </c>
      <c r="O115" s="2" t="s">
        <v>225</v>
      </c>
      <c r="P115" s="2" t="s">
        <v>237</v>
      </c>
      <c r="Q115" s="2"/>
      <c r="R115" s="4" t="s">
        <v>30</v>
      </c>
      <c r="S115" s="5" t="n">
        <v>0</v>
      </c>
      <c r="T115" s="2"/>
    </row>
    <row r="116" customFormat="false" ht="15" hidden="false" customHeight="false" outlineLevel="0" collapsed="false">
      <c r="A116" s="2" t="s">
        <v>596</v>
      </c>
      <c r="B116" s="3" t="n">
        <v>45839</v>
      </c>
      <c r="C116" s="3" t="n">
        <v>45839</v>
      </c>
      <c r="D116" s="2" t="s">
        <v>21</v>
      </c>
      <c r="E116" s="4" t="s">
        <v>33</v>
      </c>
      <c r="F116" s="5" t="n">
        <v>70700</v>
      </c>
      <c r="G116" s="6" t="n">
        <f aca="false">G115+IF(E116="Credit",F116,IF(E116="Debit",-F116,0))</f>
        <v>6816448</v>
      </c>
      <c r="H116" s="4" t="s">
        <v>53</v>
      </c>
      <c r="I116" s="2" t="s">
        <v>239</v>
      </c>
      <c r="J116" s="2" t="s">
        <v>590</v>
      </c>
      <c r="K116" s="4" t="s">
        <v>240</v>
      </c>
      <c r="L116" s="2" t="s">
        <v>241</v>
      </c>
      <c r="M116" s="4" t="s">
        <v>223</v>
      </c>
      <c r="N116" s="2" t="s">
        <v>597</v>
      </c>
      <c r="O116" s="2" t="s">
        <v>225</v>
      </c>
      <c r="P116" s="2" t="s">
        <v>243</v>
      </c>
      <c r="Q116" s="2"/>
      <c r="R116" s="4" t="s">
        <v>30</v>
      </c>
      <c r="S116" s="5" t="n">
        <v>0</v>
      </c>
      <c r="T116" s="2"/>
    </row>
    <row r="117" customFormat="false" ht="15" hidden="false" customHeight="false" outlineLevel="0" collapsed="false">
      <c r="A117" s="2" t="s">
        <v>598</v>
      </c>
      <c r="B117" s="3" t="n">
        <v>45839</v>
      </c>
      <c r="C117" s="3" t="n">
        <v>45839</v>
      </c>
      <c r="D117" s="2" t="s">
        <v>21</v>
      </c>
      <c r="E117" s="4" t="s">
        <v>33</v>
      </c>
      <c r="F117" s="5" t="n">
        <v>95400</v>
      </c>
      <c r="G117" s="6" t="n">
        <f aca="false">G116+IF(E117="Credit",F117,IF(E117="Debit",-F117,0))</f>
        <v>6721048</v>
      </c>
      <c r="H117" s="4" t="s">
        <v>53</v>
      </c>
      <c r="I117" s="2" t="s">
        <v>245</v>
      </c>
      <c r="J117" s="2" t="s">
        <v>590</v>
      </c>
      <c r="K117" s="4" t="s">
        <v>246</v>
      </c>
      <c r="L117" s="2" t="s">
        <v>247</v>
      </c>
      <c r="M117" s="4" t="s">
        <v>223</v>
      </c>
      <c r="N117" s="2" t="s">
        <v>599</v>
      </c>
      <c r="O117" s="2" t="s">
        <v>225</v>
      </c>
      <c r="P117" s="2" t="s">
        <v>226</v>
      </c>
      <c r="Q117" s="2"/>
      <c r="R117" s="4" t="s">
        <v>30</v>
      </c>
      <c r="S117" s="5" t="n">
        <v>0</v>
      </c>
      <c r="T117" s="2"/>
    </row>
    <row r="118" customFormat="false" ht="15" hidden="false" customHeight="false" outlineLevel="0" collapsed="false">
      <c r="A118" s="2" t="s">
        <v>600</v>
      </c>
      <c r="B118" s="3" t="n">
        <v>45839</v>
      </c>
      <c r="C118" s="3" t="n">
        <v>45839</v>
      </c>
      <c r="D118" s="2" t="s">
        <v>21</v>
      </c>
      <c r="E118" s="4" t="s">
        <v>33</v>
      </c>
      <c r="F118" s="5" t="n">
        <v>62500</v>
      </c>
      <c r="G118" s="6" t="n">
        <f aca="false">G117+IF(E118="Credit",F118,IF(E118="Debit",-F118,0))</f>
        <v>6658548</v>
      </c>
      <c r="H118" s="4" t="s">
        <v>53</v>
      </c>
      <c r="I118" s="2" t="s">
        <v>250</v>
      </c>
      <c r="J118" s="2" t="s">
        <v>590</v>
      </c>
      <c r="K118" s="4" t="s">
        <v>251</v>
      </c>
      <c r="L118" s="2" t="s">
        <v>252</v>
      </c>
      <c r="M118" s="4" t="s">
        <v>223</v>
      </c>
      <c r="N118" s="2" t="s">
        <v>601</v>
      </c>
      <c r="O118" s="2" t="s">
        <v>225</v>
      </c>
      <c r="P118" s="2" t="s">
        <v>226</v>
      </c>
      <c r="Q118" s="2"/>
      <c r="R118" s="4" t="s">
        <v>30</v>
      </c>
      <c r="S118" s="5" t="n">
        <v>0</v>
      </c>
      <c r="T118" s="2"/>
    </row>
    <row r="119" customFormat="false" ht="15" hidden="false" customHeight="false" outlineLevel="0" collapsed="false">
      <c r="A119" s="2" t="s">
        <v>602</v>
      </c>
      <c r="B119" s="3" t="n">
        <v>45839</v>
      </c>
      <c r="C119" s="3" t="n">
        <v>45839</v>
      </c>
      <c r="D119" s="2" t="s">
        <v>21</v>
      </c>
      <c r="E119" s="4" t="s">
        <v>33</v>
      </c>
      <c r="F119" s="5" t="n">
        <v>77600</v>
      </c>
      <c r="G119" s="6" t="n">
        <f aca="false">G118+IF(E119="Credit",F119,IF(E119="Debit",-F119,0))</f>
        <v>6580948</v>
      </c>
      <c r="H119" s="4" t="s">
        <v>53</v>
      </c>
      <c r="I119" s="2" t="s">
        <v>255</v>
      </c>
      <c r="J119" s="2" t="s">
        <v>590</v>
      </c>
      <c r="K119" s="4" t="s">
        <v>256</v>
      </c>
      <c r="L119" s="2" t="s">
        <v>257</v>
      </c>
      <c r="M119" s="4" t="s">
        <v>223</v>
      </c>
      <c r="N119" s="2" t="s">
        <v>603</v>
      </c>
      <c r="O119" s="2" t="s">
        <v>225</v>
      </c>
      <c r="P119" s="2" t="s">
        <v>237</v>
      </c>
      <c r="Q119" s="2"/>
      <c r="R119" s="4" t="s">
        <v>30</v>
      </c>
      <c r="S119" s="5" t="n">
        <v>0</v>
      </c>
      <c r="T119" s="2"/>
    </row>
    <row r="120" customFormat="false" ht="15" hidden="false" customHeight="false" outlineLevel="0" collapsed="false">
      <c r="A120" s="2" t="s">
        <v>604</v>
      </c>
      <c r="B120" s="3" t="n">
        <v>45839</v>
      </c>
      <c r="C120" s="3" t="n">
        <v>45839</v>
      </c>
      <c r="D120" s="2" t="s">
        <v>21</v>
      </c>
      <c r="E120" s="4" t="s">
        <v>33</v>
      </c>
      <c r="F120" s="5" t="n">
        <v>84600</v>
      </c>
      <c r="G120" s="6" t="n">
        <f aca="false">G119+IF(E120="Credit",F120,IF(E120="Debit",-F120,0))</f>
        <v>6496348</v>
      </c>
      <c r="H120" s="4" t="s">
        <v>53</v>
      </c>
      <c r="I120" s="2" t="s">
        <v>260</v>
      </c>
      <c r="J120" s="2" t="s">
        <v>590</v>
      </c>
      <c r="K120" s="4" t="s">
        <v>261</v>
      </c>
      <c r="L120" s="2" t="s">
        <v>262</v>
      </c>
      <c r="M120" s="4" t="s">
        <v>223</v>
      </c>
      <c r="N120" s="2" t="s">
        <v>605</v>
      </c>
      <c r="O120" s="2" t="s">
        <v>225</v>
      </c>
      <c r="P120" s="2" t="s">
        <v>264</v>
      </c>
      <c r="Q120" s="2"/>
      <c r="R120" s="4" t="s">
        <v>30</v>
      </c>
      <c r="S120" s="5" t="n">
        <v>0</v>
      </c>
      <c r="T120" s="2"/>
    </row>
    <row r="121" customFormat="false" ht="15" hidden="false" customHeight="false" outlineLevel="0" collapsed="false">
      <c r="A121" s="2" t="s">
        <v>606</v>
      </c>
      <c r="B121" s="3" t="n">
        <v>45839</v>
      </c>
      <c r="C121" s="3" t="n">
        <v>45839</v>
      </c>
      <c r="D121" s="2" t="s">
        <v>21</v>
      </c>
      <c r="E121" s="4" t="s">
        <v>33</v>
      </c>
      <c r="F121" s="5" t="n">
        <v>56900</v>
      </c>
      <c r="G121" s="6" t="n">
        <f aca="false">G120+IF(E121="Credit",F121,IF(E121="Debit",-F121,0))</f>
        <v>6439448</v>
      </c>
      <c r="H121" s="4" t="s">
        <v>53</v>
      </c>
      <c r="I121" s="2" t="s">
        <v>266</v>
      </c>
      <c r="J121" s="2" t="s">
        <v>590</v>
      </c>
      <c r="K121" s="4" t="s">
        <v>267</v>
      </c>
      <c r="L121" s="2" t="s">
        <v>268</v>
      </c>
      <c r="M121" s="4" t="s">
        <v>223</v>
      </c>
      <c r="N121" s="2" t="s">
        <v>607</v>
      </c>
      <c r="O121" s="2" t="s">
        <v>225</v>
      </c>
      <c r="P121" s="2" t="s">
        <v>270</v>
      </c>
      <c r="Q121" s="2"/>
      <c r="R121" s="4" t="s">
        <v>30</v>
      </c>
      <c r="S121" s="5" t="n">
        <v>0</v>
      </c>
      <c r="T121" s="2"/>
    </row>
    <row r="122" customFormat="false" ht="15" hidden="false" customHeight="false" outlineLevel="0" collapsed="false">
      <c r="A122" s="2" t="s">
        <v>608</v>
      </c>
      <c r="B122" s="3" t="n">
        <v>45839</v>
      </c>
      <c r="C122" s="3" t="n">
        <v>45839</v>
      </c>
      <c r="D122" s="2" t="s">
        <v>21</v>
      </c>
      <c r="E122" s="4" t="s">
        <v>33</v>
      </c>
      <c r="F122" s="5" t="n">
        <v>82200</v>
      </c>
      <c r="G122" s="6" t="n">
        <f aca="false">G121+IF(E122="Credit",F122,IF(E122="Debit",-F122,0))</f>
        <v>6357248</v>
      </c>
      <c r="H122" s="4" t="s">
        <v>53</v>
      </c>
      <c r="I122" s="2" t="s">
        <v>272</v>
      </c>
      <c r="J122" s="2" t="s">
        <v>590</v>
      </c>
      <c r="K122" s="4" t="s">
        <v>273</v>
      </c>
      <c r="L122" s="2" t="s">
        <v>274</v>
      </c>
      <c r="M122" s="4" t="s">
        <v>223</v>
      </c>
      <c r="N122" s="2" t="s">
        <v>609</v>
      </c>
      <c r="O122" s="2" t="s">
        <v>225</v>
      </c>
      <c r="P122" s="2" t="s">
        <v>276</v>
      </c>
      <c r="Q122" s="2"/>
      <c r="R122" s="4" t="s">
        <v>30</v>
      </c>
      <c r="S122" s="5" t="n">
        <v>0</v>
      </c>
      <c r="T122" s="2"/>
    </row>
    <row r="123" customFormat="false" ht="15" hidden="false" customHeight="false" outlineLevel="0" collapsed="false">
      <c r="A123" s="2" t="s">
        <v>610</v>
      </c>
      <c r="B123" s="3" t="n">
        <v>45839</v>
      </c>
      <c r="C123" s="3" t="n">
        <v>45839</v>
      </c>
      <c r="D123" s="2" t="s">
        <v>21</v>
      </c>
      <c r="E123" s="4" t="s">
        <v>33</v>
      </c>
      <c r="F123" s="5" t="n">
        <v>133600</v>
      </c>
      <c r="G123" s="6" t="n">
        <f aca="false">G122+IF(E123="Credit",F123,IF(E123="Debit",-F123,0))</f>
        <v>6223648</v>
      </c>
      <c r="H123" s="4" t="s">
        <v>53</v>
      </c>
      <c r="I123" s="2" t="s">
        <v>278</v>
      </c>
      <c r="J123" s="2" t="s">
        <v>590</v>
      </c>
      <c r="K123" s="4" t="s">
        <v>279</v>
      </c>
      <c r="L123" s="2" t="s">
        <v>280</v>
      </c>
      <c r="M123" s="4" t="s">
        <v>223</v>
      </c>
      <c r="N123" s="2" t="s">
        <v>611</v>
      </c>
      <c r="O123" s="2" t="s">
        <v>225</v>
      </c>
      <c r="P123" s="2" t="s">
        <v>226</v>
      </c>
      <c r="Q123" s="2"/>
      <c r="R123" s="4" t="s">
        <v>30</v>
      </c>
      <c r="S123" s="5" t="n">
        <v>0</v>
      </c>
      <c r="T123" s="2"/>
    </row>
    <row r="124" customFormat="false" ht="15" hidden="false" customHeight="false" outlineLevel="0" collapsed="false">
      <c r="A124" s="2" t="s">
        <v>612</v>
      </c>
      <c r="B124" s="3" t="n">
        <v>45839</v>
      </c>
      <c r="C124" s="3" t="n">
        <v>45839</v>
      </c>
      <c r="D124" s="2" t="s">
        <v>21</v>
      </c>
      <c r="E124" s="4" t="s">
        <v>33</v>
      </c>
      <c r="F124" s="5" t="n">
        <v>55100</v>
      </c>
      <c r="G124" s="6" t="n">
        <f aca="false">G123+IF(E124="Credit",F124,IF(E124="Debit",-F124,0))</f>
        <v>6168548</v>
      </c>
      <c r="H124" s="4" t="s">
        <v>53</v>
      </c>
      <c r="I124" s="2" t="s">
        <v>283</v>
      </c>
      <c r="J124" s="2" t="s">
        <v>590</v>
      </c>
      <c r="K124" s="4" t="s">
        <v>284</v>
      </c>
      <c r="L124" s="2" t="s">
        <v>285</v>
      </c>
      <c r="M124" s="4" t="s">
        <v>223</v>
      </c>
      <c r="N124" s="2" t="s">
        <v>613</v>
      </c>
      <c r="O124" s="2" t="s">
        <v>225</v>
      </c>
      <c r="P124" s="2" t="s">
        <v>287</v>
      </c>
      <c r="Q124" s="2"/>
      <c r="R124" s="4" t="s">
        <v>30</v>
      </c>
      <c r="S124" s="5" t="n">
        <v>0</v>
      </c>
      <c r="T124" s="2"/>
    </row>
    <row r="125" customFormat="false" ht="15" hidden="false" customHeight="false" outlineLevel="0" collapsed="false">
      <c r="A125" s="2" t="s">
        <v>614</v>
      </c>
      <c r="B125" s="3" t="n">
        <v>45839</v>
      </c>
      <c r="C125" s="3" t="n">
        <v>45839</v>
      </c>
      <c r="D125" s="2" t="s">
        <v>21</v>
      </c>
      <c r="E125" s="4" t="s">
        <v>33</v>
      </c>
      <c r="F125" s="5" t="n">
        <v>18600</v>
      </c>
      <c r="G125" s="6" t="n">
        <f aca="false">G124+IF(E125="Credit",F125,IF(E125="Debit",-F125,0))</f>
        <v>6149948</v>
      </c>
      <c r="H125" s="4" t="s">
        <v>34</v>
      </c>
      <c r="I125" s="2" t="s">
        <v>615</v>
      </c>
      <c r="J125" s="2" t="s">
        <v>616</v>
      </c>
      <c r="K125" s="4" t="s">
        <v>126</v>
      </c>
      <c r="L125" s="2" t="s">
        <v>127</v>
      </c>
      <c r="M125" s="4" t="s">
        <v>38</v>
      </c>
      <c r="N125" s="2" t="s">
        <v>617</v>
      </c>
      <c r="O125" s="2" t="s">
        <v>129</v>
      </c>
      <c r="P125" s="2" t="s">
        <v>130</v>
      </c>
      <c r="Q125" s="2"/>
      <c r="R125" s="4" t="s">
        <v>30</v>
      </c>
      <c r="S125" s="5" t="n">
        <v>0</v>
      </c>
      <c r="T125" s="2"/>
    </row>
    <row r="126" customFormat="false" ht="15" hidden="false" customHeight="false" outlineLevel="0" collapsed="false">
      <c r="A126" s="2" t="s">
        <v>618</v>
      </c>
      <c r="B126" s="3" t="n">
        <v>45841</v>
      </c>
      <c r="C126" s="3" t="n">
        <v>45841</v>
      </c>
      <c r="D126" s="2" t="s">
        <v>21</v>
      </c>
      <c r="E126" s="4" t="s">
        <v>33</v>
      </c>
      <c r="F126" s="5" t="n">
        <v>95000</v>
      </c>
      <c r="G126" s="6" t="n">
        <f aca="false">G125+IF(E126="Credit",F126,IF(E126="Debit",-F126,0))</f>
        <v>6054948</v>
      </c>
      <c r="H126" s="4" t="s">
        <v>43</v>
      </c>
      <c r="I126" s="2" t="s">
        <v>44</v>
      </c>
      <c r="J126" s="2" t="s">
        <v>619</v>
      </c>
      <c r="K126" s="4" t="s">
        <v>46</v>
      </c>
      <c r="L126" s="2" t="s">
        <v>47</v>
      </c>
      <c r="M126" s="4" t="s">
        <v>38</v>
      </c>
      <c r="N126" s="2" t="s">
        <v>620</v>
      </c>
      <c r="O126" s="2" t="s">
        <v>49</v>
      </c>
      <c r="P126" s="2" t="s">
        <v>50</v>
      </c>
      <c r="Q126" s="2"/>
      <c r="R126" s="4" t="s">
        <v>30</v>
      </c>
      <c r="S126" s="5" t="n">
        <v>0</v>
      </c>
      <c r="T126" s="2"/>
    </row>
    <row r="127" customFormat="false" ht="15" hidden="false" customHeight="false" outlineLevel="0" collapsed="false">
      <c r="A127" s="2" t="s">
        <v>621</v>
      </c>
      <c r="B127" s="3" t="n">
        <v>45842</v>
      </c>
      <c r="C127" s="3" t="n">
        <v>45842</v>
      </c>
      <c r="D127" s="2" t="s">
        <v>21</v>
      </c>
      <c r="E127" s="4" t="s">
        <v>33</v>
      </c>
      <c r="F127" s="5" t="n">
        <v>14160</v>
      </c>
      <c r="G127" s="6" t="n">
        <f aca="false">G126+IF(E127="Credit",F127,IF(E127="Debit",-F127,0))</f>
        <v>6040788</v>
      </c>
      <c r="H127" s="4" t="s">
        <v>99</v>
      </c>
      <c r="I127" s="2" t="s">
        <v>622</v>
      </c>
      <c r="J127" s="2" t="s">
        <v>623</v>
      </c>
      <c r="K127" s="4" t="s">
        <v>391</v>
      </c>
      <c r="L127" s="2" t="s">
        <v>392</v>
      </c>
      <c r="M127" s="4" t="s">
        <v>38</v>
      </c>
      <c r="N127" s="2" t="s">
        <v>624</v>
      </c>
      <c r="O127" s="2" t="s">
        <v>160</v>
      </c>
      <c r="P127" s="2" t="s">
        <v>394</v>
      </c>
      <c r="Q127" s="2" t="s">
        <v>625</v>
      </c>
      <c r="R127" s="4" t="s">
        <v>30</v>
      </c>
      <c r="S127" s="5" t="n">
        <v>2160</v>
      </c>
      <c r="T127" s="2"/>
    </row>
    <row r="128" customFormat="false" ht="15" hidden="false" customHeight="false" outlineLevel="0" collapsed="false">
      <c r="A128" s="2" t="s">
        <v>626</v>
      </c>
      <c r="B128" s="3" t="n">
        <v>45843</v>
      </c>
      <c r="C128" s="3" t="n">
        <v>45843</v>
      </c>
      <c r="D128" s="2" t="s">
        <v>21</v>
      </c>
      <c r="E128" s="4" t="s">
        <v>33</v>
      </c>
      <c r="F128" s="5" t="n">
        <v>145000</v>
      </c>
      <c r="G128" s="6" t="n">
        <f aca="false">G127+IF(E128="Credit",F128,IF(E128="Debit",-F128,0))</f>
        <v>5895788</v>
      </c>
      <c r="H128" s="4" t="s">
        <v>64</v>
      </c>
      <c r="I128" s="2" t="s">
        <v>65</v>
      </c>
      <c r="J128" s="2" t="s">
        <v>627</v>
      </c>
      <c r="K128" s="4" t="s">
        <v>67</v>
      </c>
      <c r="L128" s="2" t="s">
        <v>68</v>
      </c>
      <c r="M128" s="4" t="s">
        <v>69</v>
      </c>
      <c r="N128" s="2" t="s">
        <v>628</v>
      </c>
      <c r="O128" s="2" t="s">
        <v>71</v>
      </c>
      <c r="P128" s="2" t="s">
        <v>72</v>
      </c>
      <c r="Q128" s="2"/>
      <c r="R128" s="4" t="s">
        <v>30</v>
      </c>
      <c r="S128" s="5" t="n">
        <v>0</v>
      </c>
      <c r="T128" s="2"/>
    </row>
    <row r="129" customFormat="false" ht="15" hidden="false" customHeight="false" outlineLevel="0" collapsed="false">
      <c r="A129" s="2" t="s">
        <v>629</v>
      </c>
      <c r="B129" s="3" t="n">
        <v>45843</v>
      </c>
      <c r="C129" s="3" t="n">
        <v>45843</v>
      </c>
      <c r="D129" s="2" t="s">
        <v>21</v>
      </c>
      <c r="E129" s="4" t="s">
        <v>33</v>
      </c>
      <c r="F129" s="5" t="n">
        <v>25300</v>
      </c>
      <c r="G129" s="6" t="n">
        <f aca="false">G128+IF(E129="Credit",F129,IF(E129="Debit",-F129,0))</f>
        <v>5870488</v>
      </c>
      <c r="H129" s="4" t="s">
        <v>74</v>
      </c>
      <c r="I129" s="2" t="s">
        <v>630</v>
      </c>
      <c r="J129" s="2" t="s">
        <v>630</v>
      </c>
      <c r="K129" s="4" t="s">
        <v>631</v>
      </c>
      <c r="L129" s="2" t="s">
        <v>632</v>
      </c>
      <c r="M129" s="4" t="s">
        <v>38</v>
      </c>
      <c r="N129" s="2" t="s">
        <v>633</v>
      </c>
      <c r="O129" s="2" t="s">
        <v>169</v>
      </c>
      <c r="P129" s="2" t="s">
        <v>170</v>
      </c>
      <c r="Q129" s="2"/>
      <c r="R129" s="4" t="s">
        <v>30</v>
      </c>
      <c r="S129" s="5" t="n">
        <v>0</v>
      </c>
      <c r="T129" s="2"/>
    </row>
    <row r="130" customFormat="false" ht="15" hidden="false" customHeight="false" outlineLevel="0" collapsed="false">
      <c r="A130" s="2" t="s">
        <v>634</v>
      </c>
      <c r="B130" s="3" t="n">
        <v>45844</v>
      </c>
      <c r="C130" s="3" t="n">
        <v>45844</v>
      </c>
      <c r="D130" s="2" t="s">
        <v>21</v>
      </c>
      <c r="E130" s="4" t="s">
        <v>33</v>
      </c>
      <c r="F130" s="5" t="n">
        <v>4100</v>
      </c>
      <c r="G130" s="6" t="n">
        <f aca="false">G129+IF(E130="Credit",F130,IF(E130="Debit",-F130,0))</f>
        <v>5866388</v>
      </c>
      <c r="H130" s="4" t="s">
        <v>289</v>
      </c>
      <c r="I130" s="2" t="s">
        <v>380</v>
      </c>
      <c r="J130" s="2" t="s">
        <v>381</v>
      </c>
      <c r="K130" s="4" t="s">
        <v>67</v>
      </c>
      <c r="L130" s="2" t="s">
        <v>68</v>
      </c>
      <c r="M130" s="4" t="s">
        <v>69</v>
      </c>
      <c r="N130" s="2" t="s">
        <v>635</v>
      </c>
      <c r="O130" s="2" t="s">
        <v>383</v>
      </c>
      <c r="P130" s="2" t="s">
        <v>384</v>
      </c>
      <c r="Q130" s="2"/>
      <c r="R130" s="4" t="s">
        <v>30</v>
      </c>
      <c r="S130" s="5" t="n">
        <v>0</v>
      </c>
      <c r="T130" s="2"/>
    </row>
    <row r="131" customFormat="false" ht="15" hidden="false" customHeight="false" outlineLevel="0" collapsed="false">
      <c r="A131" s="2" t="s">
        <v>636</v>
      </c>
      <c r="B131" s="3" t="n">
        <v>45845</v>
      </c>
      <c r="C131" s="3" t="n">
        <v>45845</v>
      </c>
      <c r="D131" s="2" t="s">
        <v>21</v>
      </c>
      <c r="E131" s="4" t="s">
        <v>52</v>
      </c>
      <c r="F131" s="5" t="n">
        <v>347392</v>
      </c>
      <c r="G131" s="6" t="n">
        <f aca="false">G130+IF(E131="Credit",F131,IF(E131="Debit",-F131,0))</f>
        <v>6213780</v>
      </c>
      <c r="H131" s="4" t="s">
        <v>99</v>
      </c>
      <c r="I131" s="2" t="s">
        <v>637</v>
      </c>
      <c r="J131" s="2" t="s">
        <v>638</v>
      </c>
      <c r="K131" s="4" t="s">
        <v>639</v>
      </c>
      <c r="L131" s="2" t="s">
        <v>640</v>
      </c>
      <c r="M131" s="4" t="s">
        <v>58</v>
      </c>
      <c r="N131" s="2" t="s">
        <v>641</v>
      </c>
      <c r="O131" s="2" t="s">
        <v>60</v>
      </c>
      <c r="P131" s="2" t="s">
        <v>80</v>
      </c>
      <c r="Q131" s="2" t="s">
        <v>642</v>
      </c>
      <c r="R131" s="4" t="s">
        <v>30</v>
      </c>
      <c r="S131" s="5" t="n">
        <v>52992</v>
      </c>
      <c r="T131" s="2" t="s">
        <v>413</v>
      </c>
    </row>
    <row r="132" customFormat="false" ht="15" hidden="false" customHeight="false" outlineLevel="0" collapsed="false">
      <c r="A132" s="2" t="s">
        <v>643</v>
      </c>
      <c r="B132" s="3" t="n">
        <v>45845</v>
      </c>
      <c r="C132" s="3" t="n">
        <v>45845</v>
      </c>
      <c r="D132" s="2" t="s">
        <v>21</v>
      </c>
      <c r="E132" s="4" t="s">
        <v>33</v>
      </c>
      <c r="F132" s="5" t="n">
        <v>12000</v>
      </c>
      <c r="G132" s="6" t="n">
        <f aca="false">G131+IF(E132="Credit",F132,IF(E132="Debit",-F132,0))</f>
        <v>6201780</v>
      </c>
      <c r="H132" s="4" t="s">
        <v>64</v>
      </c>
      <c r="I132" s="2" t="s">
        <v>83</v>
      </c>
      <c r="J132" s="2" t="s">
        <v>644</v>
      </c>
      <c r="K132" s="4" t="s">
        <v>85</v>
      </c>
      <c r="L132" s="2" t="s">
        <v>86</v>
      </c>
      <c r="M132" s="4" t="s">
        <v>38</v>
      </c>
      <c r="N132" s="2" t="s">
        <v>645</v>
      </c>
      <c r="O132" s="2" t="s">
        <v>88</v>
      </c>
      <c r="P132" s="2" t="s">
        <v>89</v>
      </c>
      <c r="Q132" s="2"/>
      <c r="R132" s="4" t="s">
        <v>30</v>
      </c>
      <c r="S132" s="5" t="n">
        <v>0</v>
      </c>
      <c r="T132" s="2"/>
    </row>
    <row r="133" customFormat="false" ht="15" hidden="false" customHeight="false" outlineLevel="0" collapsed="false">
      <c r="A133" s="2" t="s">
        <v>646</v>
      </c>
      <c r="B133" s="3" t="n">
        <v>45846</v>
      </c>
      <c r="C133" s="3" t="n">
        <v>45846</v>
      </c>
      <c r="D133" s="2" t="s">
        <v>21</v>
      </c>
      <c r="E133" s="4" t="s">
        <v>33</v>
      </c>
      <c r="F133" s="5" t="n">
        <v>14000</v>
      </c>
      <c r="G133" s="6" t="n">
        <f aca="false">G132+IF(E133="Credit",F133,IF(E133="Debit",-F133,0))</f>
        <v>6187780</v>
      </c>
      <c r="H133" s="4" t="s">
        <v>99</v>
      </c>
      <c r="I133" s="2" t="s">
        <v>647</v>
      </c>
      <c r="J133" s="2" t="s">
        <v>648</v>
      </c>
      <c r="K133" s="4" t="s">
        <v>183</v>
      </c>
      <c r="L133" s="2" t="s">
        <v>184</v>
      </c>
      <c r="M133" s="4" t="s">
        <v>167</v>
      </c>
      <c r="N133" s="2" t="s">
        <v>649</v>
      </c>
      <c r="O133" s="2" t="s">
        <v>160</v>
      </c>
      <c r="P133" s="2" t="s">
        <v>186</v>
      </c>
      <c r="Q133" s="2" t="s">
        <v>650</v>
      </c>
      <c r="R133" s="4" t="s">
        <v>30</v>
      </c>
      <c r="S133" s="5" t="n">
        <v>1500</v>
      </c>
      <c r="T133" s="2" t="s">
        <v>651</v>
      </c>
    </row>
    <row r="134" customFormat="false" ht="15" hidden="false" customHeight="false" outlineLevel="0" collapsed="false">
      <c r="A134" s="2" t="s">
        <v>652</v>
      </c>
      <c r="B134" s="3" t="n">
        <v>45848</v>
      </c>
      <c r="C134" s="3" t="n">
        <v>45848</v>
      </c>
      <c r="D134" s="2" t="s">
        <v>21</v>
      </c>
      <c r="E134" s="4" t="s">
        <v>33</v>
      </c>
      <c r="F134" s="5" t="n">
        <v>53800</v>
      </c>
      <c r="G134" s="6" t="n">
        <f aca="false">G133+IF(E134="Credit",F134,IF(E134="Debit",-F134,0))</f>
        <v>6133980</v>
      </c>
      <c r="H134" s="4" t="s">
        <v>115</v>
      </c>
      <c r="I134" s="2" t="s">
        <v>116</v>
      </c>
      <c r="J134" s="2" t="s">
        <v>653</v>
      </c>
      <c r="K134" s="4" t="s">
        <v>118</v>
      </c>
      <c r="L134" s="2" t="s">
        <v>119</v>
      </c>
      <c r="M134" s="4" t="s">
        <v>38</v>
      </c>
      <c r="N134" s="2" t="s">
        <v>654</v>
      </c>
      <c r="O134" s="2" t="s">
        <v>121</v>
      </c>
      <c r="P134" s="2" t="s">
        <v>122</v>
      </c>
      <c r="Q134" s="2"/>
      <c r="R134" s="4" t="s">
        <v>30</v>
      </c>
      <c r="S134" s="5" t="n">
        <v>0</v>
      </c>
      <c r="T134" s="2"/>
    </row>
    <row r="135" customFormat="false" ht="15" hidden="false" customHeight="false" outlineLevel="0" collapsed="false">
      <c r="A135" s="2" t="s">
        <v>655</v>
      </c>
      <c r="B135" s="3" t="n">
        <v>45852</v>
      </c>
      <c r="C135" s="3" t="n">
        <v>45852</v>
      </c>
      <c r="D135" s="2" t="s">
        <v>21</v>
      </c>
      <c r="E135" s="4" t="s">
        <v>33</v>
      </c>
      <c r="F135" s="5" t="n">
        <v>30600</v>
      </c>
      <c r="G135" s="6" t="n">
        <f aca="false">G134+IF(E135="Credit",F135,IF(E135="Debit",-F135,0))</f>
        <v>6103380</v>
      </c>
      <c r="H135" s="4" t="s">
        <v>99</v>
      </c>
      <c r="I135" s="2" t="s">
        <v>139</v>
      </c>
      <c r="J135" s="2" t="s">
        <v>656</v>
      </c>
      <c r="K135" s="4" t="s">
        <v>141</v>
      </c>
      <c r="L135" s="2" t="s">
        <v>142</v>
      </c>
      <c r="M135" s="4" t="s">
        <v>143</v>
      </c>
      <c r="N135" s="2" t="s">
        <v>657</v>
      </c>
      <c r="O135" s="2" t="s">
        <v>145</v>
      </c>
      <c r="P135" s="2" t="s">
        <v>146</v>
      </c>
      <c r="Q135" s="2"/>
      <c r="R135" s="4" t="s">
        <v>30</v>
      </c>
      <c r="S135" s="5" t="n">
        <v>0</v>
      </c>
      <c r="T135" s="2"/>
    </row>
    <row r="136" customFormat="false" ht="15" hidden="false" customHeight="false" outlineLevel="0" collapsed="false">
      <c r="A136" s="2" t="s">
        <v>658</v>
      </c>
      <c r="B136" s="3" t="n">
        <v>45853</v>
      </c>
      <c r="C136" s="3" t="n">
        <v>45853</v>
      </c>
      <c r="D136" s="2" t="s">
        <v>21</v>
      </c>
      <c r="E136" s="4" t="s">
        <v>33</v>
      </c>
      <c r="F136" s="5" t="n">
        <v>30070</v>
      </c>
      <c r="G136" s="6" t="n">
        <f aca="false">G135+IF(E136="Credit",F136,IF(E136="Debit",-F136,0))</f>
        <v>6073310</v>
      </c>
      <c r="H136" s="4" t="s">
        <v>64</v>
      </c>
      <c r="I136" s="2" t="s">
        <v>148</v>
      </c>
      <c r="J136" s="2" t="s">
        <v>659</v>
      </c>
      <c r="K136" s="4" t="s">
        <v>150</v>
      </c>
      <c r="L136" s="2" t="s">
        <v>151</v>
      </c>
      <c r="M136" s="4" t="s">
        <v>38</v>
      </c>
      <c r="N136" s="2" t="s">
        <v>660</v>
      </c>
      <c r="O136" s="2" t="s">
        <v>88</v>
      </c>
      <c r="P136" s="2" t="s">
        <v>153</v>
      </c>
      <c r="Q136" s="2"/>
      <c r="R136" s="4" t="s">
        <v>30</v>
      </c>
      <c r="S136" s="5" t="n">
        <v>0</v>
      </c>
      <c r="T136" s="2"/>
    </row>
    <row r="137" customFormat="false" ht="15" hidden="false" customHeight="false" outlineLevel="0" collapsed="false">
      <c r="A137" s="2" t="s">
        <v>661</v>
      </c>
      <c r="B137" s="3" t="n">
        <v>45856</v>
      </c>
      <c r="C137" s="3" t="n">
        <v>45856</v>
      </c>
      <c r="D137" s="2" t="s">
        <v>21</v>
      </c>
      <c r="E137" s="4" t="s">
        <v>33</v>
      </c>
      <c r="F137" s="5" t="n">
        <v>41300</v>
      </c>
      <c r="G137" s="6" t="n">
        <f aca="false">G136+IF(E137="Credit",F137,IF(E137="Debit",-F137,0))</f>
        <v>6032010</v>
      </c>
      <c r="H137" s="4" t="s">
        <v>74</v>
      </c>
      <c r="I137" s="2" t="s">
        <v>662</v>
      </c>
      <c r="J137" s="2" t="s">
        <v>663</v>
      </c>
      <c r="K137" s="4" t="s">
        <v>664</v>
      </c>
      <c r="L137" s="2" t="s">
        <v>665</v>
      </c>
      <c r="M137" s="4" t="s">
        <v>38</v>
      </c>
      <c r="N137" s="2" t="s">
        <v>666</v>
      </c>
      <c r="O137" s="2" t="s">
        <v>160</v>
      </c>
      <c r="P137" s="2" t="s">
        <v>667</v>
      </c>
      <c r="Q137" s="2" t="s">
        <v>668</v>
      </c>
      <c r="R137" s="4" t="s">
        <v>30</v>
      </c>
      <c r="S137" s="5" t="n">
        <v>6300</v>
      </c>
      <c r="T137" s="2"/>
    </row>
    <row r="138" customFormat="false" ht="15" hidden="false" customHeight="false" outlineLevel="0" collapsed="false">
      <c r="A138" s="2" t="s">
        <v>669</v>
      </c>
      <c r="B138" s="3" t="n">
        <v>45858</v>
      </c>
      <c r="C138" s="3" t="n">
        <v>45858</v>
      </c>
      <c r="D138" s="2" t="s">
        <v>21</v>
      </c>
      <c r="E138" s="4" t="s">
        <v>33</v>
      </c>
      <c r="F138" s="5" t="n">
        <v>141200</v>
      </c>
      <c r="G138" s="6" t="n">
        <f aca="false">G137+IF(E138="Credit",F138,IF(E138="Debit",-F138,0))</f>
        <v>5890810</v>
      </c>
      <c r="H138" s="4" t="s">
        <v>99</v>
      </c>
      <c r="I138" s="2" t="s">
        <v>172</v>
      </c>
      <c r="J138" s="2" t="s">
        <v>670</v>
      </c>
      <c r="K138" s="4" t="s">
        <v>174</v>
      </c>
      <c r="L138" s="2" t="s">
        <v>175</v>
      </c>
      <c r="M138" s="4" t="s">
        <v>143</v>
      </c>
      <c r="N138" s="2" t="s">
        <v>671</v>
      </c>
      <c r="O138" s="2" t="s">
        <v>177</v>
      </c>
      <c r="P138" s="2" t="s">
        <v>178</v>
      </c>
      <c r="Q138" s="2"/>
      <c r="R138" s="4" t="s">
        <v>30</v>
      </c>
      <c r="S138" s="5" t="n">
        <v>0</v>
      </c>
      <c r="T138" s="2"/>
    </row>
    <row r="139" customFormat="false" ht="15" hidden="false" customHeight="false" outlineLevel="0" collapsed="false">
      <c r="A139" s="2" t="s">
        <v>672</v>
      </c>
      <c r="B139" s="3" t="n">
        <v>45859</v>
      </c>
      <c r="C139" s="3" t="n">
        <v>45859</v>
      </c>
      <c r="D139" s="2" t="s">
        <v>21</v>
      </c>
      <c r="E139" s="4" t="s">
        <v>33</v>
      </c>
      <c r="F139" s="5" t="n">
        <v>6200</v>
      </c>
      <c r="G139" s="6" t="n">
        <f aca="false">G138+IF(E139="Credit",F139,IF(E139="Debit",-F139,0))</f>
        <v>5884610</v>
      </c>
      <c r="H139" s="4" t="s">
        <v>289</v>
      </c>
      <c r="I139" s="2" t="s">
        <v>673</v>
      </c>
      <c r="J139" s="2" t="s">
        <v>673</v>
      </c>
      <c r="K139" s="4" t="s">
        <v>36</v>
      </c>
      <c r="L139" s="2" t="s">
        <v>37</v>
      </c>
      <c r="M139" s="4" t="s">
        <v>38</v>
      </c>
      <c r="N139" s="2" t="s">
        <v>674</v>
      </c>
      <c r="O139" s="2" t="s">
        <v>40</v>
      </c>
      <c r="P139" s="2" t="s">
        <v>41</v>
      </c>
      <c r="Q139" s="2"/>
      <c r="R139" s="4" t="s">
        <v>30</v>
      </c>
      <c r="S139" s="5" t="n">
        <v>0</v>
      </c>
      <c r="T139" s="2"/>
    </row>
    <row r="140" customFormat="false" ht="15" hidden="false" customHeight="false" outlineLevel="0" collapsed="false">
      <c r="A140" s="2" t="s">
        <v>675</v>
      </c>
      <c r="B140" s="3" t="n">
        <v>45861</v>
      </c>
      <c r="C140" s="3" t="n">
        <v>45861</v>
      </c>
      <c r="D140" s="2" t="s">
        <v>21</v>
      </c>
      <c r="E140" s="4" t="s">
        <v>33</v>
      </c>
      <c r="F140" s="5" t="n">
        <v>14000</v>
      </c>
      <c r="G140" s="6" t="n">
        <f aca="false">G139+IF(E140="Credit",F140,IF(E140="Debit",-F140,0))</f>
        <v>5870610</v>
      </c>
      <c r="H140" s="4" t="s">
        <v>99</v>
      </c>
      <c r="I140" s="2" t="s">
        <v>647</v>
      </c>
      <c r="J140" s="2" t="s">
        <v>676</v>
      </c>
      <c r="K140" s="4" t="s">
        <v>183</v>
      </c>
      <c r="L140" s="2" t="s">
        <v>184</v>
      </c>
      <c r="M140" s="4" t="s">
        <v>167</v>
      </c>
      <c r="N140" s="2" t="s">
        <v>677</v>
      </c>
      <c r="O140" s="2" t="s">
        <v>160</v>
      </c>
      <c r="P140" s="2" t="s">
        <v>186</v>
      </c>
      <c r="Q140" s="2" t="s">
        <v>650</v>
      </c>
      <c r="R140" s="4" t="s">
        <v>30</v>
      </c>
      <c r="S140" s="5" t="n">
        <v>1500</v>
      </c>
      <c r="T140" s="2" t="s">
        <v>678</v>
      </c>
    </row>
    <row r="141" customFormat="false" ht="15" hidden="false" customHeight="false" outlineLevel="0" collapsed="false">
      <c r="A141" s="2" t="s">
        <v>679</v>
      </c>
      <c r="B141" s="3" t="n">
        <v>45861</v>
      </c>
      <c r="C141" s="3" t="n">
        <v>45861</v>
      </c>
      <c r="D141" s="2" t="s">
        <v>21</v>
      </c>
      <c r="E141" s="4" t="s">
        <v>33</v>
      </c>
      <c r="F141" s="5" t="n">
        <v>520</v>
      </c>
      <c r="G141" s="6" t="n">
        <f aca="false">G140+IF(E141="Credit",F141,IF(E141="Debit",-F141,0))</f>
        <v>5870090</v>
      </c>
      <c r="H141" s="4" t="s">
        <v>53</v>
      </c>
      <c r="I141" s="2" t="s">
        <v>214</v>
      </c>
      <c r="J141" s="2" t="s">
        <v>680</v>
      </c>
      <c r="K141" s="4" t="s">
        <v>67</v>
      </c>
      <c r="L141" s="2" t="s">
        <v>68</v>
      </c>
      <c r="M141" s="4" t="s">
        <v>69</v>
      </c>
      <c r="N141" s="2" t="s">
        <v>681</v>
      </c>
      <c r="O141" s="2" t="s">
        <v>96</v>
      </c>
      <c r="P141" s="2" t="s">
        <v>217</v>
      </c>
      <c r="Q141" s="2"/>
      <c r="R141" s="4" t="s">
        <v>30</v>
      </c>
      <c r="S141" s="5" t="n">
        <v>0</v>
      </c>
      <c r="T141" s="2"/>
    </row>
    <row r="142" customFormat="false" ht="15" hidden="false" customHeight="false" outlineLevel="0" collapsed="false">
      <c r="A142" s="2" t="s">
        <v>682</v>
      </c>
      <c r="B142" s="3" t="n">
        <v>45863</v>
      </c>
      <c r="C142" s="3" t="n">
        <v>45863</v>
      </c>
      <c r="D142" s="2" t="s">
        <v>21</v>
      </c>
      <c r="E142" s="4" t="s">
        <v>33</v>
      </c>
      <c r="F142" s="5" t="n">
        <v>5600</v>
      </c>
      <c r="G142" s="6" t="n">
        <f aca="false">G141+IF(E142="Credit",F142,IF(E142="Debit",-F142,0))</f>
        <v>5864490</v>
      </c>
      <c r="H142" s="4" t="s">
        <v>289</v>
      </c>
      <c r="I142" s="2" t="s">
        <v>380</v>
      </c>
      <c r="J142" s="2" t="s">
        <v>381</v>
      </c>
      <c r="K142" s="4" t="s">
        <v>67</v>
      </c>
      <c r="L142" s="2" t="s">
        <v>68</v>
      </c>
      <c r="M142" s="4" t="s">
        <v>69</v>
      </c>
      <c r="N142" s="2" t="s">
        <v>683</v>
      </c>
      <c r="O142" s="2" t="s">
        <v>383</v>
      </c>
      <c r="P142" s="2" t="s">
        <v>384</v>
      </c>
      <c r="Q142" s="2"/>
      <c r="R142" s="4" t="s">
        <v>30</v>
      </c>
      <c r="S142" s="5" t="n">
        <v>0</v>
      </c>
      <c r="T142" s="2"/>
    </row>
    <row r="143" customFormat="false" ht="15" hidden="false" customHeight="false" outlineLevel="0" collapsed="false">
      <c r="A143" s="2" t="s">
        <v>684</v>
      </c>
      <c r="B143" s="3" t="n">
        <v>45867</v>
      </c>
      <c r="C143" s="3" t="n">
        <v>45867</v>
      </c>
      <c r="D143" s="2" t="s">
        <v>21</v>
      </c>
      <c r="E143" s="4" t="s">
        <v>33</v>
      </c>
      <c r="F143" s="5" t="n">
        <v>6720</v>
      </c>
      <c r="G143" s="6" t="n">
        <f aca="false">G142+IF(E143="Credit",F143,IF(E143="Debit",-F143,0))</f>
        <v>5857770</v>
      </c>
      <c r="H143" s="4" t="s">
        <v>685</v>
      </c>
      <c r="I143" s="2" t="s">
        <v>686</v>
      </c>
      <c r="J143" s="2" t="s">
        <v>687</v>
      </c>
      <c r="K143" s="4" t="s">
        <v>295</v>
      </c>
      <c r="L143" s="2" t="s">
        <v>296</v>
      </c>
      <c r="M143" s="4" t="s">
        <v>167</v>
      </c>
      <c r="N143" s="2" t="s">
        <v>688</v>
      </c>
      <c r="O143" s="2" t="s">
        <v>160</v>
      </c>
      <c r="P143" s="2" t="s">
        <v>298</v>
      </c>
      <c r="Q143" s="2" t="s">
        <v>689</v>
      </c>
      <c r="R143" s="4" t="s">
        <v>30</v>
      </c>
      <c r="S143" s="5" t="n">
        <v>720</v>
      </c>
      <c r="T143" s="2"/>
    </row>
    <row r="144" customFormat="false" ht="15" hidden="false" customHeight="false" outlineLevel="0" collapsed="false">
      <c r="A144" s="2" t="s">
        <v>690</v>
      </c>
      <c r="B144" s="3" t="n">
        <v>45872</v>
      </c>
      <c r="C144" s="3" t="n">
        <v>45872</v>
      </c>
      <c r="D144" s="2" t="s">
        <v>21</v>
      </c>
      <c r="E144" s="4" t="s">
        <v>52</v>
      </c>
      <c r="F144" s="5" t="n">
        <v>60970</v>
      </c>
      <c r="G144" s="6" t="n">
        <f aca="false">G143+IF(E144="Credit",F144,IF(E144="Debit",-F144,0))</f>
        <v>5918740</v>
      </c>
      <c r="H144" s="4" t="s">
        <v>685</v>
      </c>
      <c r="I144" s="2" t="s">
        <v>691</v>
      </c>
      <c r="J144" s="2" t="s">
        <v>692</v>
      </c>
      <c r="K144" s="4" t="s">
        <v>693</v>
      </c>
      <c r="L144" s="2" t="s">
        <v>694</v>
      </c>
      <c r="M144" s="4" t="s">
        <v>58</v>
      </c>
      <c r="N144" s="2" t="s">
        <v>695</v>
      </c>
      <c r="O144" s="2" t="s">
        <v>60</v>
      </c>
      <c r="P144" s="2" t="s">
        <v>536</v>
      </c>
      <c r="Q144" s="2" t="s">
        <v>696</v>
      </c>
      <c r="R144" s="4" t="s">
        <v>30</v>
      </c>
      <c r="S144" s="5" t="n">
        <v>9301</v>
      </c>
      <c r="T144" s="2" t="s">
        <v>697</v>
      </c>
    </row>
    <row r="145" customFormat="false" ht="15" hidden="false" customHeight="false" outlineLevel="0" collapsed="false">
      <c r="A145" s="2" t="s">
        <v>698</v>
      </c>
      <c r="B145" s="3" t="n">
        <v>45872</v>
      </c>
      <c r="C145" s="3" t="n">
        <v>45872</v>
      </c>
      <c r="D145" s="2" t="s">
        <v>21</v>
      </c>
      <c r="E145" s="4" t="s">
        <v>33</v>
      </c>
      <c r="F145" s="5" t="n">
        <v>95000</v>
      </c>
      <c r="G145" s="6" t="n">
        <f aca="false">G144+IF(E145="Credit",F145,IF(E145="Debit",-F145,0))</f>
        <v>5823740</v>
      </c>
      <c r="H145" s="4" t="s">
        <v>43</v>
      </c>
      <c r="I145" s="2" t="s">
        <v>44</v>
      </c>
      <c r="J145" s="2" t="s">
        <v>699</v>
      </c>
      <c r="K145" s="4" t="s">
        <v>46</v>
      </c>
      <c r="L145" s="2" t="s">
        <v>47</v>
      </c>
      <c r="M145" s="4" t="s">
        <v>38</v>
      </c>
      <c r="N145" s="2" t="s">
        <v>700</v>
      </c>
      <c r="O145" s="2" t="s">
        <v>49</v>
      </c>
      <c r="P145" s="2" t="s">
        <v>50</v>
      </c>
      <c r="Q145" s="2"/>
      <c r="R145" s="4" t="s">
        <v>30</v>
      </c>
      <c r="S145" s="5" t="n">
        <v>0</v>
      </c>
      <c r="T145" s="2"/>
    </row>
    <row r="146" customFormat="false" ht="15" hidden="false" customHeight="false" outlineLevel="0" collapsed="false">
      <c r="A146" s="2" t="s">
        <v>701</v>
      </c>
      <c r="B146" s="3" t="n">
        <v>45874</v>
      </c>
      <c r="C146" s="3" t="n">
        <v>45874</v>
      </c>
      <c r="D146" s="2" t="s">
        <v>21</v>
      </c>
      <c r="E146" s="4" t="s">
        <v>33</v>
      </c>
      <c r="F146" s="5" t="n">
        <v>145000</v>
      </c>
      <c r="G146" s="6" t="n">
        <f aca="false">G145+IF(E146="Credit",F146,IF(E146="Debit",-F146,0))</f>
        <v>5678740</v>
      </c>
      <c r="H146" s="4" t="s">
        <v>64</v>
      </c>
      <c r="I146" s="2" t="s">
        <v>65</v>
      </c>
      <c r="J146" s="2" t="s">
        <v>702</v>
      </c>
      <c r="K146" s="4" t="s">
        <v>67</v>
      </c>
      <c r="L146" s="2" t="s">
        <v>68</v>
      </c>
      <c r="M146" s="4" t="s">
        <v>69</v>
      </c>
      <c r="N146" s="2" t="s">
        <v>703</v>
      </c>
      <c r="O146" s="2" t="s">
        <v>71</v>
      </c>
      <c r="P146" s="2" t="s">
        <v>72</v>
      </c>
      <c r="Q146" s="2"/>
      <c r="R146" s="4" t="s">
        <v>30</v>
      </c>
      <c r="S146" s="5" t="n">
        <v>0</v>
      </c>
      <c r="T146" s="2"/>
    </row>
    <row r="147" customFormat="false" ht="15" hidden="false" customHeight="false" outlineLevel="0" collapsed="false">
      <c r="A147" s="2" t="s">
        <v>704</v>
      </c>
      <c r="B147" s="3" t="n">
        <v>45875</v>
      </c>
      <c r="C147" s="3" t="n">
        <v>45875</v>
      </c>
      <c r="D147" s="2" t="s">
        <v>21</v>
      </c>
      <c r="E147" s="4" t="s">
        <v>33</v>
      </c>
      <c r="F147" s="5" t="n">
        <v>21100</v>
      </c>
      <c r="G147" s="6" t="n">
        <f aca="false">G146+IF(E147="Credit",F147,IF(E147="Debit",-F147,0))</f>
        <v>5657640</v>
      </c>
      <c r="H147" s="4" t="s">
        <v>74</v>
      </c>
      <c r="I147" s="2" t="s">
        <v>705</v>
      </c>
      <c r="J147" s="2" t="s">
        <v>706</v>
      </c>
      <c r="K147" s="4" t="s">
        <v>126</v>
      </c>
      <c r="L147" s="2" t="s">
        <v>127</v>
      </c>
      <c r="M147" s="4" t="s">
        <v>38</v>
      </c>
      <c r="N147" s="2" t="s">
        <v>707</v>
      </c>
      <c r="O147" s="2" t="s">
        <v>129</v>
      </c>
      <c r="P147" s="2" t="s">
        <v>130</v>
      </c>
      <c r="Q147" s="2"/>
      <c r="R147" s="4" t="s">
        <v>30</v>
      </c>
      <c r="S147" s="5" t="n">
        <v>0</v>
      </c>
      <c r="T147" s="2"/>
    </row>
    <row r="148" customFormat="false" ht="15" hidden="false" customHeight="false" outlineLevel="0" collapsed="false">
      <c r="A148" s="2" t="s">
        <v>708</v>
      </c>
      <c r="B148" s="3" t="n">
        <v>45876</v>
      </c>
      <c r="C148" s="3" t="n">
        <v>45876</v>
      </c>
      <c r="D148" s="2" t="s">
        <v>21</v>
      </c>
      <c r="E148" s="4" t="s">
        <v>52</v>
      </c>
      <c r="F148" s="5" t="n">
        <v>46800</v>
      </c>
      <c r="G148" s="6" t="n">
        <f aca="false">G147+IF(E148="Credit",F148,IF(E148="Debit",-F148,0))</f>
        <v>5704440</v>
      </c>
      <c r="H148" s="4" t="s">
        <v>53</v>
      </c>
      <c r="I148" s="2" t="s">
        <v>517</v>
      </c>
      <c r="J148" s="2" t="s">
        <v>709</v>
      </c>
      <c r="K148" s="4" t="s">
        <v>519</v>
      </c>
      <c r="L148" s="2" t="s">
        <v>520</v>
      </c>
      <c r="M148" s="4" t="s">
        <v>58</v>
      </c>
      <c r="N148" s="2" t="s">
        <v>710</v>
      </c>
      <c r="O148" s="2" t="s">
        <v>60</v>
      </c>
      <c r="P148" s="2" t="s">
        <v>711</v>
      </c>
      <c r="Q148" s="2" t="s">
        <v>712</v>
      </c>
      <c r="R148" s="4" t="s">
        <v>30</v>
      </c>
      <c r="S148" s="5" t="n">
        <v>10238</v>
      </c>
      <c r="T148" s="2" t="s">
        <v>407</v>
      </c>
    </row>
    <row r="149" customFormat="false" ht="15" hidden="false" customHeight="false" outlineLevel="0" collapsed="false">
      <c r="A149" s="2" t="s">
        <v>713</v>
      </c>
      <c r="B149" s="3" t="n">
        <v>45876</v>
      </c>
      <c r="C149" s="3" t="n">
        <v>45876</v>
      </c>
      <c r="D149" s="2" t="s">
        <v>21</v>
      </c>
      <c r="E149" s="4" t="s">
        <v>33</v>
      </c>
      <c r="F149" s="5" t="n">
        <v>12000</v>
      </c>
      <c r="G149" s="6" t="n">
        <f aca="false">G148+IF(E149="Credit",F149,IF(E149="Debit",-F149,0))</f>
        <v>5692440</v>
      </c>
      <c r="H149" s="4" t="s">
        <v>64</v>
      </c>
      <c r="I149" s="2" t="s">
        <v>83</v>
      </c>
      <c r="J149" s="2" t="s">
        <v>714</v>
      </c>
      <c r="K149" s="4" t="s">
        <v>85</v>
      </c>
      <c r="L149" s="2" t="s">
        <v>86</v>
      </c>
      <c r="M149" s="4" t="s">
        <v>38</v>
      </c>
      <c r="N149" s="2" t="s">
        <v>715</v>
      </c>
      <c r="O149" s="2" t="s">
        <v>88</v>
      </c>
      <c r="P149" s="2" t="s">
        <v>89</v>
      </c>
      <c r="Q149" s="2"/>
      <c r="R149" s="4" t="s">
        <v>30</v>
      </c>
      <c r="S149" s="5" t="n">
        <v>0</v>
      </c>
      <c r="T149" s="2"/>
    </row>
    <row r="150" customFormat="false" ht="15" hidden="false" customHeight="false" outlineLevel="0" collapsed="false">
      <c r="A150" s="2" t="s">
        <v>716</v>
      </c>
      <c r="B150" s="3" t="n">
        <v>45879</v>
      </c>
      <c r="C150" s="3" t="n">
        <v>45879</v>
      </c>
      <c r="D150" s="2" t="s">
        <v>21</v>
      </c>
      <c r="E150" s="4" t="s">
        <v>33</v>
      </c>
      <c r="F150" s="5" t="n">
        <v>62900</v>
      </c>
      <c r="G150" s="6" t="n">
        <f aca="false">G149+IF(E150="Credit",F150,IF(E150="Debit",-F150,0))</f>
        <v>5629540</v>
      </c>
      <c r="H150" s="4" t="s">
        <v>115</v>
      </c>
      <c r="I150" s="2" t="s">
        <v>116</v>
      </c>
      <c r="J150" s="2" t="s">
        <v>717</v>
      </c>
      <c r="K150" s="4" t="s">
        <v>118</v>
      </c>
      <c r="L150" s="2" t="s">
        <v>119</v>
      </c>
      <c r="M150" s="4" t="s">
        <v>38</v>
      </c>
      <c r="N150" s="2" t="s">
        <v>718</v>
      </c>
      <c r="O150" s="2" t="s">
        <v>121</v>
      </c>
      <c r="P150" s="2" t="s">
        <v>122</v>
      </c>
      <c r="Q150" s="2"/>
      <c r="R150" s="4" t="s">
        <v>30</v>
      </c>
      <c r="S150" s="5" t="n">
        <v>0</v>
      </c>
      <c r="T150" s="2"/>
    </row>
    <row r="151" customFormat="false" ht="15" hidden="false" customHeight="false" outlineLevel="0" collapsed="false">
      <c r="A151" s="2" t="s">
        <v>719</v>
      </c>
      <c r="B151" s="3" t="n">
        <v>45879</v>
      </c>
      <c r="C151" s="3" t="n">
        <v>45879</v>
      </c>
      <c r="D151" s="2" t="s">
        <v>21</v>
      </c>
      <c r="E151" s="4" t="s">
        <v>33</v>
      </c>
      <c r="F151" s="5" t="n">
        <v>6000</v>
      </c>
      <c r="G151" s="6" t="n">
        <f aca="false">G150+IF(E151="Credit",F151,IF(E151="Debit",-F151,0))</f>
        <v>5623540</v>
      </c>
      <c r="H151" s="4" t="s">
        <v>289</v>
      </c>
      <c r="I151" s="2" t="s">
        <v>380</v>
      </c>
      <c r="J151" s="2" t="s">
        <v>381</v>
      </c>
      <c r="K151" s="4" t="s">
        <v>67</v>
      </c>
      <c r="L151" s="2" t="s">
        <v>68</v>
      </c>
      <c r="M151" s="4" t="s">
        <v>69</v>
      </c>
      <c r="N151" s="2" t="s">
        <v>720</v>
      </c>
      <c r="O151" s="2" t="s">
        <v>383</v>
      </c>
      <c r="P151" s="2" t="s">
        <v>384</v>
      </c>
      <c r="Q151" s="2"/>
      <c r="R151" s="4" t="s">
        <v>30</v>
      </c>
      <c r="S151" s="5" t="n">
        <v>0</v>
      </c>
      <c r="T151" s="2"/>
    </row>
    <row r="152" customFormat="false" ht="15" hidden="false" customHeight="false" outlineLevel="0" collapsed="false">
      <c r="A152" s="2" t="s">
        <v>721</v>
      </c>
      <c r="B152" s="3" t="n">
        <v>45883</v>
      </c>
      <c r="C152" s="3" t="n">
        <v>45883</v>
      </c>
      <c r="D152" s="2" t="s">
        <v>21</v>
      </c>
      <c r="E152" s="4" t="s">
        <v>33</v>
      </c>
      <c r="F152" s="5" t="n">
        <v>26700</v>
      </c>
      <c r="G152" s="6" t="n">
        <f aca="false">G151+IF(E152="Credit",F152,IF(E152="Debit",-F152,0))</f>
        <v>5596840</v>
      </c>
      <c r="H152" s="4" t="s">
        <v>99</v>
      </c>
      <c r="I152" s="2" t="s">
        <v>139</v>
      </c>
      <c r="J152" s="2" t="s">
        <v>722</v>
      </c>
      <c r="K152" s="4" t="s">
        <v>141</v>
      </c>
      <c r="L152" s="2" t="s">
        <v>142</v>
      </c>
      <c r="M152" s="4" t="s">
        <v>143</v>
      </c>
      <c r="N152" s="2" t="s">
        <v>723</v>
      </c>
      <c r="O152" s="2" t="s">
        <v>145</v>
      </c>
      <c r="P152" s="2" t="s">
        <v>146</v>
      </c>
      <c r="Q152" s="2"/>
      <c r="R152" s="4" t="s">
        <v>30</v>
      </c>
      <c r="S152" s="5" t="n">
        <v>0</v>
      </c>
      <c r="T152" s="2"/>
    </row>
    <row r="153" customFormat="false" ht="15" hidden="false" customHeight="false" outlineLevel="0" collapsed="false">
      <c r="A153" s="2" t="s">
        <v>724</v>
      </c>
      <c r="B153" s="3" t="n">
        <v>45884</v>
      </c>
      <c r="C153" s="3" t="n">
        <v>45884</v>
      </c>
      <c r="D153" s="2" t="s">
        <v>21</v>
      </c>
      <c r="E153" s="4" t="s">
        <v>33</v>
      </c>
      <c r="F153" s="5" t="n">
        <v>18600</v>
      </c>
      <c r="G153" s="6" t="n">
        <f aca="false">G152+IF(E153="Credit",F153,IF(E153="Debit",-F153,0))</f>
        <v>5578240</v>
      </c>
      <c r="H153" s="4" t="s">
        <v>180</v>
      </c>
      <c r="I153" s="2" t="s">
        <v>725</v>
      </c>
      <c r="J153" s="2" t="s">
        <v>726</v>
      </c>
      <c r="K153" s="4" t="s">
        <v>376</v>
      </c>
      <c r="L153" s="2" t="s">
        <v>377</v>
      </c>
      <c r="M153" s="4" t="s">
        <v>38</v>
      </c>
      <c r="N153" s="2" t="s">
        <v>727</v>
      </c>
      <c r="O153" s="2" t="s">
        <v>160</v>
      </c>
      <c r="P153" s="2" t="s">
        <v>728</v>
      </c>
      <c r="Q153" s="2" t="s">
        <v>729</v>
      </c>
      <c r="R153" s="4" t="s">
        <v>30</v>
      </c>
      <c r="S153" s="5" t="n">
        <v>2837</v>
      </c>
      <c r="T153" s="2" t="s">
        <v>188</v>
      </c>
    </row>
    <row r="154" customFormat="false" ht="15" hidden="false" customHeight="false" outlineLevel="0" collapsed="false">
      <c r="A154" s="2" t="s">
        <v>730</v>
      </c>
      <c r="B154" s="3" t="n">
        <v>45884</v>
      </c>
      <c r="C154" s="3" t="n">
        <v>45884</v>
      </c>
      <c r="D154" s="2" t="s">
        <v>21</v>
      </c>
      <c r="E154" s="4" t="s">
        <v>33</v>
      </c>
      <c r="F154" s="5" t="n">
        <v>27650</v>
      </c>
      <c r="G154" s="6" t="n">
        <f aca="false">G153+IF(E154="Credit",F154,IF(E154="Debit",-F154,0))</f>
        <v>5550590</v>
      </c>
      <c r="H154" s="4" t="s">
        <v>64</v>
      </c>
      <c r="I154" s="2" t="s">
        <v>148</v>
      </c>
      <c r="J154" s="2" t="s">
        <v>731</v>
      </c>
      <c r="K154" s="4" t="s">
        <v>150</v>
      </c>
      <c r="L154" s="2" t="s">
        <v>151</v>
      </c>
      <c r="M154" s="4" t="s">
        <v>38</v>
      </c>
      <c r="N154" s="2" t="s">
        <v>732</v>
      </c>
      <c r="O154" s="2" t="s">
        <v>88</v>
      </c>
      <c r="P154" s="2" t="s">
        <v>153</v>
      </c>
      <c r="Q154" s="2"/>
      <c r="R154" s="4" t="s">
        <v>30</v>
      </c>
      <c r="S154" s="5" t="n">
        <v>0</v>
      </c>
      <c r="T154" s="2"/>
    </row>
    <row r="155" customFormat="false" ht="15" hidden="false" customHeight="false" outlineLevel="0" collapsed="false">
      <c r="A155" s="2" t="s">
        <v>733</v>
      </c>
      <c r="B155" s="3" t="n">
        <v>45886</v>
      </c>
      <c r="C155" s="3" t="n">
        <v>45886</v>
      </c>
      <c r="D155" s="2" t="s">
        <v>21</v>
      </c>
      <c r="E155" s="4" t="s">
        <v>52</v>
      </c>
      <c r="F155" s="5" t="n">
        <v>56600</v>
      </c>
      <c r="G155" s="6" t="n">
        <f aca="false">G154+IF(E155="Credit",F155,IF(E155="Debit",-F155,0))</f>
        <v>5607190</v>
      </c>
      <c r="H155" s="4" t="s">
        <v>685</v>
      </c>
      <c r="I155" s="2" t="s">
        <v>734</v>
      </c>
      <c r="J155" s="2" t="s">
        <v>735</v>
      </c>
      <c r="K155" s="4" t="s">
        <v>447</v>
      </c>
      <c r="L155" s="2" t="s">
        <v>448</v>
      </c>
      <c r="M155" s="4" t="s">
        <v>58</v>
      </c>
      <c r="N155" s="2" t="s">
        <v>736</v>
      </c>
      <c r="O155" s="2" t="s">
        <v>60</v>
      </c>
      <c r="P155" s="2" t="s">
        <v>711</v>
      </c>
      <c r="Q155" s="2" t="s">
        <v>737</v>
      </c>
      <c r="R155" s="4" t="s">
        <v>30</v>
      </c>
      <c r="S155" s="5" t="n">
        <v>6064</v>
      </c>
      <c r="T155" s="2" t="s">
        <v>407</v>
      </c>
    </row>
    <row r="156" customFormat="false" ht="15" hidden="false" customHeight="false" outlineLevel="0" collapsed="false">
      <c r="A156" s="2" t="s">
        <v>738</v>
      </c>
      <c r="B156" s="3" t="n">
        <v>45887</v>
      </c>
      <c r="C156" s="3" t="n">
        <v>45887</v>
      </c>
      <c r="D156" s="2" t="s">
        <v>21</v>
      </c>
      <c r="E156" s="4" t="s">
        <v>33</v>
      </c>
      <c r="F156" s="5" t="n">
        <v>1110</v>
      </c>
      <c r="G156" s="6" t="n">
        <f aca="false">G155+IF(E156="Credit",F156,IF(E156="Debit",-F156,0))</f>
        <v>5606080</v>
      </c>
      <c r="H156" s="4" t="s">
        <v>53</v>
      </c>
      <c r="I156" s="2" t="s">
        <v>214</v>
      </c>
      <c r="J156" s="2" t="s">
        <v>739</v>
      </c>
      <c r="K156" s="4" t="s">
        <v>67</v>
      </c>
      <c r="L156" s="2" t="s">
        <v>68</v>
      </c>
      <c r="M156" s="4" t="s">
        <v>69</v>
      </c>
      <c r="N156" s="2" t="s">
        <v>740</v>
      </c>
      <c r="O156" s="2" t="s">
        <v>96</v>
      </c>
      <c r="P156" s="2" t="s">
        <v>217</v>
      </c>
      <c r="Q156" s="2"/>
      <c r="R156" s="4" t="s">
        <v>30</v>
      </c>
      <c r="S156" s="5" t="n">
        <v>0</v>
      </c>
      <c r="T156" s="2"/>
    </row>
    <row r="157" customFormat="false" ht="15" hidden="false" customHeight="false" outlineLevel="0" collapsed="false">
      <c r="A157" s="2" t="s">
        <v>741</v>
      </c>
      <c r="B157" s="3" t="n">
        <v>45887</v>
      </c>
      <c r="C157" s="3" t="n">
        <v>45887</v>
      </c>
      <c r="D157" s="2" t="s">
        <v>21</v>
      </c>
      <c r="E157" s="4" t="s">
        <v>33</v>
      </c>
      <c r="F157" s="5" t="n">
        <v>23800</v>
      </c>
      <c r="G157" s="6" t="n">
        <f aca="false">G156+IF(E157="Credit",F157,IF(E157="Debit",-F157,0))</f>
        <v>5582280</v>
      </c>
      <c r="H157" s="4" t="s">
        <v>115</v>
      </c>
      <c r="I157" s="2" t="s">
        <v>742</v>
      </c>
      <c r="J157" s="2" t="s">
        <v>743</v>
      </c>
      <c r="K157" s="4" t="s">
        <v>376</v>
      </c>
      <c r="L157" s="2" t="s">
        <v>377</v>
      </c>
      <c r="M157" s="4" t="s">
        <v>38</v>
      </c>
      <c r="N157" s="2" t="s">
        <v>744</v>
      </c>
      <c r="O157" s="2" t="s">
        <v>129</v>
      </c>
      <c r="P157" s="2" t="s">
        <v>130</v>
      </c>
      <c r="Q157" s="2"/>
      <c r="R157" s="4" t="s">
        <v>30</v>
      </c>
      <c r="S157" s="5" t="n">
        <v>0</v>
      </c>
      <c r="T157" s="2"/>
    </row>
    <row r="158" customFormat="false" ht="15" hidden="false" customHeight="false" outlineLevel="0" collapsed="false">
      <c r="A158" s="2" t="s">
        <v>745</v>
      </c>
      <c r="B158" s="3" t="n">
        <v>45889</v>
      </c>
      <c r="C158" s="3" t="n">
        <v>45889</v>
      </c>
      <c r="D158" s="2" t="s">
        <v>21</v>
      </c>
      <c r="E158" s="4" t="s">
        <v>52</v>
      </c>
      <c r="F158" s="5" t="n">
        <v>60970</v>
      </c>
      <c r="G158" s="6" t="n">
        <f aca="false">G157+IF(E158="Credit",F158,IF(E158="Debit",-F158,0))</f>
        <v>5643250</v>
      </c>
      <c r="H158" s="4" t="s">
        <v>53</v>
      </c>
      <c r="I158" s="2" t="s">
        <v>746</v>
      </c>
      <c r="J158" s="2" t="s">
        <v>747</v>
      </c>
      <c r="K158" s="4" t="s">
        <v>693</v>
      </c>
      <c r="L158" s="2" t="s">
        <v>694</v>
      </c>
      <c r="M158" s="4" t="s">
        <v>58</v>
      </c>
      <c r="N158" s="2" t="s">
        <v>748</v>
      </c>
      <c r="O158" s="2" t="s">
        <v>60</v>
      </c>
      <c r="P158" s="2" t="s">
        <v>536</v>
      </c>
      <c r="Q158" s="2" t="s">
        <v>696</v>
      </c>
      <c r="R158" s="4" t="s">
        <v>30</v>
      </c>
      <c r="S158" s="5" t="n">
        <v>9301</v>
      </c>
      <c r="T158" s="2" t="s">
        <v>749</v>
      </c>
    </row>
    <row r="159" customFormat="false" ht="15" hidden="false" customHeight="false" outlineLevel="0" collapsed="false">
      <c r="A159" s="2" t="s">
        <v>750</v>
      </c>
      <c r="B159" s="3" t="n">
        <v>45889</v>
      </c>
      <c r="C159" s="3" t="n">
        <v>45889</v>
      </c>
      <c r="D159" s="2" t="s">
        <v>21</v>
      </c>
      <c r="E159" s="4" t="s">
        <v>33</v>
      </c>
      <c r="F159" s="5" t="n">
        <v>187000</v>
      </c>
      <c r="G159" s="6" t="n">
        <f aca="false">G158+IF(E159="Credit",F159,IF(E159="Debit",-F159,0))</f>
        <v>5456250</v>
      </c>
      <c r="H159" s="4" t="s">
        <v>99</v>
      </c>
      <c r="I159" s="2" t="s">
        <v>172</v>
      </c>
      <c r="J159" s="2" t="s">
        <v>751</v>
      </c>
      <c r="K159" s="4" t="s">
        <v>174</v>
      </c>
      <c r="L159" s="2" t="s">
        <v>175</v>
      </c>
      <c r="M159" s="4" t="s">
        <v>143</v>
      </c>
      <c r="N159" s="2" t="s">
        <v>752</v>
      </c>
      <c r="O159" s="2" t="s">
        <v>177</v>
      </c>
      <c r="P159" s="2" t="s">
        <v>178</v>
      </c>
      <c r="Q159" s="2"/>
      <c r="R159" s="4" t="s">
        <v>30</v>
      </c>
      <c r="S159" s="5" t="n">
        <v>0</v>
      </c>
      <c r="T159" s="2"/>
    </row>
    <row r="160" customFormat="false" ht="15" hidden="false" customHeight="false" outlineLevel="0" collapsed="false">
      <c r="A160" s="2" t="s">
        <v>753</v>
      </c>
      <c r="B160" s="3" t="n">
        <v>45893</v>
      </c>
      <c r="C160" s="3" t="n">
        <v>45893</v>
      </c>
      <c r="D160" s="2" t="s">
        <v>21</v>
      </c>
      <c r="E160" s="4" t="s">
        <v>52</v>
      </c>
      <c r="F160" s="5" t="n">
        <v>392000</v>
      </c>
      <c r="G160" s="6" t="n">
        <f aca="false">G159+IF(E160="Credit",F160,IF(E160="Debit",-F160,0))</f>
        <v>5848250</v>
      </c>
      <c r="H160" s="4" t="s">
        <v>74</v>
      </c>
      <c r="I160" s="2" t="s">
        <v>754</v>
      </c>
      <c r="J160" s="2" t="s">
        <v>755</v>
      </c>
      <c r="K160" s="4" t="s">
        <v>756</v>
      </c>
      <c r="L160" s="2" t="s">
        <v>757</v>
      </c>
      <c r="M160" s="4" t="s">
        <v>58</v>
      </c>
      <c r="N160" s="2" t="s">
        <v>758</v>
      </c>
      <c r="O160" s="2" t="s">
        <v>60</v>
      </c>
      <c r="P160" s="2" t="s">
        <v>477</v>
      </c>
      <c r="Q160" s="2" t="s">
        <v>759</v>
      </c>
      <c r="R160" s="4" t="s">
        <v>30</v>
      </c>
      <c r="S160" s="5" t="n">
        <v>42000</v>
      </c>
      <c r="T160" s="2" t="s">
        <v>760</v>
      </c>
    </row>
    <row r="161" customFormat="false" ht="15" hidden="false" customHeight="false" outlineLevel="0" collapsed="false">
      <c r="A161" s="2" t="s">
        <v>761</v>
      </c>
      <c r="B161" s="3" t="n">
        <v>45893</v>
      </c>
      <c r="C161" s="3" t="n">
        <v>45893</v>
      </c>
      <c r="D161" s="2" t="s">
        <v>21</v>
      </c>
      <c r="E161" s="4" t="s">
        <v>52</v>
      </c>
      <c r="F161" s="5" t="n">
        <v>150738</v>
      </c>
      <c r="G161" s="6" t="n">
        <f aca="false">G160+IF(E161="Credit",F161,IF(E161="Debit",-F161,0))</f>
        <v>5998988</v>
      </c>
      <c r="H161" s="4" t="s">
        <v>74</v>
      </c>
      <c r="I161" s="2" t="s">
        <v>762</v>
      </c>
      <c r="J161" s="2" t="s">
        <v>763</v>
      </c>
      <c r="K161" s="4" t="s">
        <v>764</v>
      </c>
      <c r="L161" s="2" t="s">
        <v>765</v>
      </c>
      <c r="M161" s="4" t="s">
        <v>58</v>
      </c>
      <c r="N161" s="2" t="s">
        <v>766</v>
      </c>
      <c r="O161" s="2" t="s">
        <v>60</v>
      </c>
      <c r="P161" s="2" t="s">
        <v>536</v>
      </c>
      <c r="Q161" s="2" t="s">
        <v>767</v>
      </c>
      <c r="R161" s="4" t="s">
        <v>30</v>
      </c>
      <c r="S161" s="5" t="n">
        <v>7178</v>
      </c>
      <c r="T161" s="2"/>
    </row>
    <row r="162" customFormat="false" ht="15" hidden="false" customHeight="false" outlineLevel="0" collapsed="false">
      <c r="A162" s="2" t="s">
        <v>768</v>
      </c>
      <c r="B162" s="3" t="n">
        <v>45894</v>
      </c>
      <c r="C162" s="3" t="n">
        <v>45894</v>
      </c>
      <c r="D162" s="2" t="s">
        <v>21</v>
      </c>
      <c r="E162" s="4" t="s">
        <v>33</v>
      </c>
      <c r="F162" s="5" t="n">
        <v>8400</v>
      </c>
      <c r="G162" s="6" t="n">
        <f aca="false">G161+IF(E162="Credit",F162,IF(E162="Debit",-F162,0))</f>
        <v>5990588</v>
      </c>
      <c r="H162" s="4" t="s">
        <v>34</v>
      </c>
      <c r="I162" s="2" t="s">
        <v>673</v>
      </c>
      <c r="J162" s="2" t="s">
        <v>673</v>
      </c>
      <c r="K162" s="4" t="s">
        <v>36</v>
      </c>
      <c r="L162" s="2" t="s">
        <v>37</v>
      </c>
      <c r="M162" s="4" t="s">
        <v>38</v>
      </c>
      <c r="N162" s="2" t="s">
        <v>769</v>
      </c>
      <c r="O162" s="2" t="s">
        <v>40</v>
      </c>
      <c r="P162" s="2" t="s">
        <v>41</v>
      </c>
      <c r="Q162" s="2"/>
      <c r="R162" s="4" t="s">
        <v>30</v>
      </c>
      <c r="S162" s="5" t="n">
        <v>0</v>
      </c>
      <c r="T162" s="2"/>
    </row>
    <row r="163" customFormat="false" ht="15" hidden="false" customHeight="false" outlineLevel="0" collapsed="false">
      <c r="A163" s="2" t="s">
        <v>770</v>
      </c>
      <c r="B163" s="3" t="n">
        <v>45895</v>
      </c>
      <c r="C163" s="3" t="n">
        <v>45895</v>
      </c>
      <c r="D163" s="2" t="s">
        <v>21</v>
      </c>
      <c r="E163" s="4" t="s">
        <v>52</v>
      </c>
      <c r="F163" s="5" t="n">
        <v>392000</v>
      </c>
      <c r="G163" s="6" t="n">
        <f aca="false">G162+IF(E163="Credit",F163,IF(E163="Debit",-F163,0))</f>
        <v>6382588</v>
      </c>
      <c r="H163" s="4" t="s">
        <v>74</v>
      </c>
      <c r="I163" s="2" t="s">
        <v>754</v>
      </c>
      <c r="J163" s="2" t="s">
        <v>771</v>
      </c>
      <c r="K163" s="4" t="s">
        <v>756</v>
      </c>
      <c r="L163" s="2" t="s">
        <v>757</v>
      </c>
      <c r="M163" s="4" t="s">
        <v>58</v>
      </c>
      <c r="N163" s="2" t="s">
        <v>772</v>
      </c>
      <c r="O163" s="2" t="s">
        <v>60</v>
      </c>
      <c r="P163" s="2" t="s">
        <v>477</v>
      </c>
      <c r="Q163" s="2" t="s">
        <v>759</v>
      </c>
      <c r="R163" s="4" t="s">
        <v>30</v>
      </c>
      <c r="S163" s="5" t="n">
        <v>42000</v>
      </c>
      <c r="T163" s="2" t="s">
        <v>773</v>
      </c>
    </row>
    <row r="164" customFormat="false" ht="15" hidden="false" customHeight="false" outlineLevel="0" collapsed="false">
      <c r="A164" s="2" t="s">
        <v>774</v>
      </c>
      <c r="B164" s="3" t="n">
        <v>45896</v>
      </c>
      <c r="C164" s="3" t="n">
        <v>45896</v>
      </c>
      <c r="D164" s="2" t="s">
        <v>21</v>
      </c>
      <c r="E164" s="4" t="s">
        <v>52</v>
      </c>
      <c r="F164" s="5" t="n">
        <v>244920</v>
      </c>
      <c r="G164" s="6" t="n">
        <f aca="false">G163+IF(E164="Credit",F164,IF(E164="Debit",-F164,0))</f>
        <v>6627508</v>
      </c>
      <c r="H164" s="4" t="s">
        <v>99</v>
      </c>
      <c r="I164" s="2" t="s">
        <v>315</v>
      </c>
      <c r="J164" s="2" t="s">
        <v>775</v>
      </c>
      <c r="K164" s="4" t="s">
        <v>77</v>
      </c>
      <c r="L164" s="2" t="s">
        <v>78</v>
      </c>
      <c r="M164" s="4" t="s">
        <v>58</v>
      </c>
      <c r="N164" s="2" t="s">
        <v>776</v>
      </c>
      <c r="O164" s="2" t="s">
        <v>60</v>
      </c>
      <c r="P164" s="2" t="s">
        <v>354</v>
      </c>
      <c r="Q164" s="2" t="s">
        <v>777</v>
      </c>
      <c r="R164" s="4" t="s">
        <v>30</v>
      </c>
      <c r="S164" s="5" t="n">
        <v>34920</v>
      </c>
      <c r="T164" s="2" t="s">
        <v>778</v>
      </c>
    </row>
    <row r="165" customFormat="false" ht="15" hidden="false" customHeight="false" outlineLevel="0" collapsed="false">
      <c r="A165" s="2" t="s">
        <v>779</v>
      </c>
      <c r="B165" s="3" t="n">
        <v>45896</v>
      </c>
      <c r="C165" s="3" t="n">
        <v>45896</v>
      </c>
      <c r="D165" s="2" t="s">
        <v>21</v>
      </c>
      <c r="E165" s="4" t="s">
        <v>33</v>
      </c>
      <c r="F165" s="5" t="n">
        <v>27000</v>
      </c>
      <c r="G165" s="6" t="n">
        <f aca="false">G164+IF(E165="Credit",F165,IF(E165="Debit",-F165,0))</f>
        <v>6600508</v>
      </c>
      <c r="H165" s="4" t="s">
        <v>115</v>
      </c>
      <c r="I165" s="2" t="s">
        <v>780</v>
      </c>
      <c r="J165" s="2" t="s">
        <v>780</v>
      </c>
      <c r="K165" s="4" t="s">
        <v>165</v>
      </c>
      <c r="L165" s="2" t="s">
        <v>166</v>
      </c>
      <c r="M165" s="4" t="s">
        <v>167</v>
      </c>
      <c r="N165" s="2" t="s">
        <v>781</v>
      </c>
      <c r="O165" s="2" t="s">
        <v>169</v>
      </c>
      <c r="P165" s="2" t="s">
        <v>170</v>
      </c>
      <c r="Q165" s="2"/>
      <c r="R165" s="4" t="s">
        <v>30</v>
      </c>
      <c r="S165" s="5" t="n">
        <v>0</v>
      </c>
      <c r="T165" s="2"/>
    </row>
    <row r="166" customFormat="false" ht="15" hidden="false" customHeight="false" outlineLevel="0" collapsed="false">
      <c r="A166" s="2" t="s">
        <v>782</v>
      </c>
      <c r="B166" s="3" t="n">
        <v>45897</v>
      </c>
      <c r="C166" s="3" t="n">
        <v>45897</v>
      </c>
      <c r="D166" s="2" t="s">
        <v>21</v>
      </c>
      <c r="E166" s="4" t="s">
        <v>33</v>
      </c>
      <c r="F166" s="5" t="n">
        <v>41200</v>
      </c>
      <c r="G166" s="6" t="n">
        <f aca="false">G165+IF(E166="Credit",F166,IF(E166="Debit",-F166,0))</f>
        <v>6559308</v>
      </c>
      <c r="H166" s="4" t="s">
        <v>115</v>
      </c>
      <c r="I166" s="2" t="s">
        <v>780</v>
      </c>
      <c r="J166" s="2" t="s">
        <v>780</v>
      </c>
      <c r="K166" s="4" t="s">
        <v>631</v>
      </c>
      <c r="L166" s="2" t="s">
        <v>632</v>
      </c>
      <c r="M166" s="4" t="s">
        <v>38</v>
      </c>
      <c r="N166" s="2" t="s">
        <v>783</v>
      </c>
      <c r="O166" s="2" t="s">
        <v>169</v>
      </c>
      <c r="P166" s="2" t="s">
        <v>170</v>
      </c>
      <c r="Q166" s="2"/>
      <c r="R166" s="4" t="s">
        <v>30</v>
      </c>
      <c r="S166" s="5" t="n">
        <v>0</v>
      </c>
      <c r="T166" s="2"/>
    </row>
    <row r="167" customFormat="false" ht="15" hidden="false" customHeight="false" outlineLevel="0" collapsed="false">
      <c r="A167" s="2" t="s">
        <v>784</v>
      </c>
      <c r="B167" s="3" t="n">
        <v>45898</v>
      </c>
      <c r="C167" s="3" t="n">
        <v>45898</v>
      </c>
      <c r="D167" s="2" t="s">
        <v>21</v>
      </c>
      <c r="E167" s="4" t="s">
        <v>52</v>
      </c>
      <c r="F167" s="5" t="n">
        <v>60972</v>
      </c>
      <c r="G167" s="6" t="n">
        <f aca="false">G166+IF(E167="Credit",F167,IF(E167="Debit",-F167,0))</f>
        <v>6620280</v>
      </c>
      <c r="H167" s="4" t="s">
        <v>99</v>
      </c>
      <c r="I167" s="2" t="s">
        <v>785</v>
      </c>
      <c r="J167" s="2" t="s">
        <v>786</v>
      </c>
      <c r="K167" s="4" t="s">
        <v>693</v>
      </c>
      <c r="L167" s="2" t="s">
        <v>694</v>
      </c>
      <c r="M167" s="4" t="s">
        <v>58</v>
      </c>
      <c r="N167" s="2" t="s">
        <v>787</v>
      </c>
      <c r="O167" s="2" t="s">
        <v>60</v>
      </c>
      <c r="P167" s="2" t="s">
        <v>536</v>
      </c>
      <c r="Q167" s="2" t="s">
        <v>696</v>
      </c>
      <c r="R167" s="4" t="s">
        <v>30</v>
      </c>
      <c r="S167" s="5" t="n">
        <v>9301</v>
      </c>
      <c r="T167" s="2" t="s">
        <v>788</v>
      </c>
    </row>
    <row r="168" customFormat="false" ht="15" hidden="false" customHeight="false" outlineLevel="0" collapsed="false">
      <c r="A168" s="2" t="s">
        <v>789</v>
      </c>
      <c r="B168" s="3" t="n">
        <v>45898</v>
      </c>
      <c r="C168" s="3" t="n">
        <v>45898</v>
      </c>
      <c r="D168" s="2" t="s">
        <v>21</v>
      </c>
      <c r="E168" s="4" t="s">
        <v>33</v>
      </c>
      <c r="F168" s="5" t="n">
        <v>66800</v>
      </c>
      <c r="G168" s="6" t="n">
        <f aca="false">G167+IF(E168="Credit",F168,IF(E168="Debit",-F168,0))</f>
        <v>6553480</v>
      </c>
      <c r="H168" s="4" t="s">
        <v>53</v>
      </c>
      <c r="I168" s="2" t="s">
        <v>219</v>
      </c>
      <c r="J168" s="2" t="s">
        <v>790</v>
      </c>
      <c r="K168" s="4" t="s">
        <v>221</v>
      </c>
      <c r="L168" s="2" t="s">
        <v>222</v>
      </c>
      <c r="M168" s="4" t="s">
        <v>223</v>
      </c>
      <c r="N168" s="2" t="s">
        <v>791</v>
      </c>
      <c r="O168" s="2" t="s">
        <v>225</v>
      </c>
      <c r="P168" s="2" t="s">
        <v>226</v>
      </c>
      <c r="Q168" s="2"/>
      <c r="R168" s="4" t="s">
        <v>30</v>
      </c>
      <c r="S168" s="5" t="n">
        <v>0</v>
      </c>
      <c r="T168" s="2"/>
    </row>
    <row r="169" customFormat="false" ht="15" hidden="false" customHeight="false" outlineLevel="0" collapsed="false">
      <c r="A169" s="2" t="s">
        <v>792</v>
      </c>
      <c r="B169" s="3" t="n">
        <v>45898</v>
      </c>
      <c r="C169" s="3" t="n">
        <v>45898</v>
      </c>
      <c r="D169" s="2" t="s">
        <v>21</v>
      </c>
      <c r="E169" s="4" t="s">
        <v>33</v>
      </c>
      <c r="F169" s="5" t="n">
        <v>91900</v>
      </c>
      <c r="G169" s="6" t="n">
        <f aca="false">G168+IF(E169="Credit",F169,IF(E169="Debit",-F169,0))</f>
        <v>6461580</v>
      </c>
      <c r="H169" s="4" t="s">
        <v>53</v>
      </c>
      <c r="I169" s="2" t="s">
        <v>228</v>
      </c>
      <c r="J169" s="2" t="s">
        <v>790</v>
      </c>
      <c r="K169" s="4" t="s">
        <v>229</v>
      </c>
      <c r="L169" s="2" t="s">
        <v>230</v>
      </c>
      <c r="M169" s="4" t="s">
        <v>223</v>
      </c>
      <c r="N169" s="2" t="s">
        <v>793</v>
      </c>
      <c r="O169" s="2" t="s">
        <v>225</v>
      </c>
      <c r="P169" s="2" t="s">
        <v>226</v>
      </c>
      <c r="Q169" s="2"/>
      <c r="R169" s="4" t="s">
        <v>30</v>
      </c>
      <c r="S169" s="5" t="n">
        <v>0</v>
      </c>
      <c r="T169" s="2"/>
    </row>
    <row r="170" customFormat="false" ht="15" hidden="false" customHeight="false" outlineLevel="0" collapsed="false">
      <c r="A170" s="2" t="s">
        <v>794</v>
      </c>
      <c r="B170" s="3" t="n">
        <v>45898</v>
      </c>
      <c r="C170" s="3" t="n">
        <v>45898</v>
      </c>
      <c r="D170" s="2" t="s">
        <v>21</v>
      </c>
      <c r="E170" s="4" t="s">
        <v>33</v>
      </c>
      <c r="F170" s="5" t="n">
        <v>117500</v>
      </c>
      <c r="G170" s="6" t="n">
        <f aca="false">G169+IF(E170="Credit",F170,IF(E170="Debit",-F170,0))</f>
        <v>6344080</v>
      </c>
      <c r="H170" s="4" t="s">
        <v>53</v>
      </c>
      <c r="I170" s="2" t="s">
        <v>233</v>
      </c>
      <c r="J170" s="2" t="s">
        <v>790</v>
      </c>
      <c r="K170" s="4" t="s">
        <v>234</v>
      </c>
      <c r="L170" s="2" t="s">
        <v>235</v>
      </c>
      <c r="M170" s="4" t="s">
        <v>223</v>
      </c>
      <c r="N170" s="2" t="s">
        <v>795</v>
      </c>
      <c r="O170" s="2" t="s">
        <v>225</v>
      </c>
      <c r="P170" s="2" t="s">
        <v>237</v>
      </c>
      <c r="Q170" s="2"/>
      <c r="R170" s="4" t="s">
        <v>30</v>
      </c>
      <c r="S170" s="5" t="n">
        <v>0</v>
      </c>
      <c r="T170" s="2"/>
    </row>
    <row r="171" customFormat="false" ht="15" hidden="false" customHeight="false" outlineLevel="0" collapsed="false">
      <c r="A171" s="2" t="s">
        <v>796</v>
      </c>
      <c r="B171" s="3" t="n">
        <v>45898</v>
      </c>
      <c r="C171" s="3" t="n">
        <v>45898</v>
      </c>
      <c r="D171" s="2" t="s">
        <v>21</v>
      </c>
      <c r="E171" s="4" t="s">
        <v>33</v>
      </c>
      <c r="F171" s="5" t="n">
        <v>72200</v>
      </c>
      <c r="G171" s="6" t="n">
        <f aca="false">G170+IF(E171="Credit",F171,IF(E171="Debit",-F171,0))</f>
        <v>6271880</v>
      </c>
      <c r="H171" s="4" t="s">
        <v>53</v>
      </c>
      <c r="I171" s="2" t="s">
        <v>239</v>
      </c>
      <c r="J171" s="2" t="s">
        <v>790</v>
      </c>
      <c r="K171" s="4" t="s">
        <v>240</v>
      </c>
      <c r="L171" s="2" t="s">
        <v>241</v>
      </c>
      <c r="M171" s="4" t="s">
        <v>223</v>
      </c>
      <c r="N171" s="2" t="s">
        <v>797</v>
      </c>
      <c r="O171" s="2" t="s">
        <v>225</v>
      </c>
      <c r="P171" s="2" t="s">
        <v>243</v>
      </c>
      <c r="Q171" s="2"/>
      <c r="R171" s="4" t="s">
        <v>30</v>
      </c>
      <c r="S171" s="5" t="n">
        <v>0</v>
      </c>
      <c r="T171" s="2"/>
    </row>
    <row r="172" customFormat="false" ht="15" hidden="false" customHeight="false" outlineLevel="0" collapsed="false">
      <c r="A172" s="2" t="s">
        <v>798</v>
      </c>
      <c r="B172" s="3" t="n">
        <v>45898</v>
      </c>
      <c r="C172" s="3" t="n">
        <v>45898</v>
      </c>
      <c r="D172" s="2" t="s">
        <v>21</v>
      </c>
      <c r="E172" s="4" t="s">
        <v>33</v>
      </c>
      <c r="F172" s="5" t="n">
        <v>94900</v>
      </c>
      <c r="G172" s="6" t="n">
        <f aca="false">G171+IF(E172="Credit",F172,IF(E172="Debit",-F172,0))</f>
        <v>6176980</v>
      </c>
      <c r="H172" s="4" t="s">
        <v>53</v>
      </c>
      <c r="I172" s="2" t="s">
        <v>245</v>
      </c>
      <c r="J172" s="2" t="s">
        <v>790</v>
      </c>
      <c r="K172" s="4" t="s">
        <v>246</v>
      </c>
      <c r="L172" s="2" t="s">
        <v>247</v>
      </c>
      <c r="M172" s="4" t="s">
        <v>223</v>
      </c>
      <c r="N172" s="2" t="s">
        <v>799</v>
      </c>
      <c r="O172" s="2" t="s">
        <v>225</v>
      </c>
      <c r="P172" s="2" t="s">
        <v>226</v>
      </c>
      <c r="Q172" s="2"/>
      <c r="R172" s="4" t="s">
        <v>30</v>
      </c>
      <c r="S172" s="5" t="n">
        <v>0</v>
      </c>
      <c r="T172" s="2"/>
    </row>
    <row r="173" customFormat="false" ht="15" hidden="false" customHeight="false" outlineLevel="0" collapsed="false">
      <c r="A173" s="2" t="s">
        <v>800</v>
      </c>
      <c r="B173" s="3" t="n">
        <v>45898</v>
      </c>
      <c r="C173" s="3" t="n">
        <v>45898</v>
      </c>
      <c r="D173" s="2" t="s">
        <v>21</v>
      </c>
      <c r="E173" s="4" t="s">
        <v>33</v>
      </c>
      <c r="F173" s="5" t="n">
        <v>62100</v>
      </c>
      <c r="G173" s="6" t="n">
        <f aca="false">G172+IF(E173="Credit",F173,IF(E173="Debit",-F173,0))</f>
        <v>6114880</v>
      </c>
      <c r="H173" s="4" t="s">
        <v>53</v>
      </c>
      <c r="I173" s="2" t="s">
        <v>250</v>
      </c>
      <c r="J173" s="2" t="s">
        <v>790</v>
      </c>
      <c r="K173" s="4" t="s">
        <v>251</v>
      </c>
      <c r="L173" s="2" t="s">
        <v>252</v>
      </c>
      <c r="M173" s="4" t="s">
        <v>223</v>
      </c>
      <c r="N173" s="2" t="s">
        <v>801</v>
      </c>
      <c r="O173" s="2" t="s">
        <v>225</v>
      </c>
      <c r="P173" s="2" t="s">
        <v>226</v>
      </c>
      <c r="Q173" s="2"/>
      <c r="R173" s="4" t="s">
        <v>30</v>
      </c>
      <c r="S173" s="5" t="n">
        <v>0</v>
      </c>
      <c r="T173" s="2"/>
    </row>
    <row r="174" customFormat="false" ht="15" hidden="false" customHeight="false" outlineLevel="0" collapsed="false">
      <c r="A174" s="2" t="s">
        <v>802</v>
      </c>
      <c r="B174" s="3" t="n">
        <v>45898</v>
      </c>
      <c r="C174" s="3" t="n">
        <v>45898</v>
      </c>
      <c r="D174" s="2" t="s">
        <v>21</v>
      </c>
      <c r="E174" s="4" t="s">
        <v>33</v>
      </c>
      <c r="F174" s="5" t="n">
        <v>77700</v>
      </c>
      <c r="G174" s="6" t="n">
        <f aca="false">G173+IF(E174="Credit",F174,IF(E174="Debit",-F174,0))</f>
        <v>6037180</v>
      </c>
      <c r="H174" s="4" t="s">
        <v>53</v>
      </c>
      <c r="I174" s="2" t="s">
        <v>255</v>
      </c>
      <c r="J174" s="2" t="s">
        <v>790</v>
      </c>
      <c r="K174" s="4" t="s">
        <v>256</v>
      </c>
      <c r="L174" s="2" t="s">
        <v>257</v>
      </c>
      <c r="M174" s="4" t="s">
        <v>223</v>
      </c>
      <c r="N174" s="2" t="s">
        <v>803</v>
      </c>
      <c r="O174" s="2" t="s">
        <v>225</v>
      </c>
      <c r="P174" s="2" t="s">
        <v>237</v>
      </c>
      <c r="Q174" s="2"/>
      <c r="R174" s="4" t="s">
        <v>30</v>
      </c>
      <c r="S174" s="5" t="n">
        <v>0</v>
      </c>
      <c r="T174" s="2"/>
    </row>
    <row r="175" customFormat="false" ht="15" hidden="false" customHeight="false" outlineLevel="0" collapsed="false">
      <c r="A175" s="2" t="s">
        <v>804</v>
      </c>
      <c r="B175" s="3" t="n">
        <v>45898</v>
      </c>
      <c r="C175" s="3" t="n">
        <v>45898</v>
      </c>
      <c r="D175" s="2" t="s">
        <v>21</v>
      </c>
      <c r="E175" s="4" t="s">
        <v>33</v>
      </c>
      <c r="F175" s="5" t="n">
        <v>85900</v>
      </c>
      <c r="G175" s="6" t="n">
        <f aca="false">G174+IF(E175="Credit",F175,IF(E175="Debit",-F175,0))</f>
        <v>5951280</v>
      </c>
      <c r="H175" s="4" t="s">
        <v>53</v>
      </c>
      <c r="I175" s="2" t="s">
        <v>260</v>
      </c>
      <c r="J175" s="2" t="s">
        <v>790</v>
      </c>
      <c r="K175" s="4" t="s">
        <v>261</v>
      </c>
      <c r="L175" s="2" t="s">
        <v>262</v>
      </c>
      <c r="M175" s="4" t="s">
        <v>223</v>
      </c>
      <c r="N175" s="2" t="s">
        <v>805</v>
      </c>
      <c r="O175" s="2" t="s">
        <v>225</v>
      </c>
      <c r="P175" s="2" t="s">
        <v>264</v>
      </c>
      <c r="Q175" s="2"/>
      <c r="R175" s="4" t="s">
        <v>30</v>
      </c>
      <c r="S175" s="5" t="n">
        <v>0</v>
      </c>
      <c r="T175" s="2"/>
    </row>
    <row r="176" customFormat="false" ht="15" hidden="false" customHeight="false" outlineLevel="0" collapsed="false">
      <c r="A176" s="2" t="s">
        <v>806</v>
      </c>
      <c r="B176" s="3" t="n">
        <v>45898</v>
      </c>
      <c r="C176" s="3" t="n">
        <v>45898</v>
      </c>
      <c r="D176" s="2" t="s">
        <v>21</v>
      </c>
      <c r="E176" s="4" t="s">
        <v>33</v>
      </c>
      <c r="F176" s="5" t="n">
        <v>56900</v>
      </c>
      <c r="G176" s="6" t="n">
        <f aca="false">G175+IF(E176="Credit",F176,IF(E176="Debit",-F176,0))</f>
        <v>5894380</v>
      </c>
      <c r="H176" s="4" t="s">
        <v>53</v>
      </c>
      <c r="I176" s="2" t="s">
        <v>266</v>
      </c>
      <c r="J176" s="2" t="s">
        <v>790</v>
      </c>
      <c r="K176" s="4" t="s">
        <v>267</v>
      </c>
      <c r="L176" s="2" t="s">
        <v>268</v>
      </c>
      <c r="M176" s="4" t="s">
        <v>223</v>
      </c>
      <c r="N176" s="2" t="s">
        <v>807</v>
      </c>
      <c r="O176" s="2" t="s">
        <v>225</v>
      </c>
      <c r="P176" s="2" t="s">
        <v>270</v>
      </c>
      <c r="Q176" s="2"/>
      <c r="R176" s="4" t="s">
        <v>30</v>
      </c>
      <c r="S176" s="5" t="n">
        <v>0</v>
      </c>
      <c r="T176" s="2"/>
    </row>
    <row r="177" customFormat="false" ht="15" hidden="false" customHeight="false" outlineLevel="0" collapsed="false">
      <c r="A177" s="2" t="s">
        <v>808</v>
      </c>
      <c r="B177" s="3" t="n">
        <v>45898</v>
      </c>
      <c r="C177" s="3" t="n">
        <v>45898</v>
      </c>
      <c r="D177" s="2" t="s">
        <v>21</v>
      </c>
      <c r="E177" s="4" t="s">
        <v>33</v>
      </c>
      <c r="F177" s="5" t="n">
        <v>80700</v>
      </c>
      <c r="G177" s="6" t="n">
        <f aca="false">G176+IF(E177="Credit",F177,IF(E177="Debit",-F177,0))</f>
        <v>5813680</v>
      </c>
      <c r="H177" s="4" t="s">
        <v>53</v>
      </c>
      <c r="I177" s="2" t="s">
        <v>272</v>
      </c>
      <c r="J177" s="2" t="s">
        <v>790</v>
      </c>
      <c r="K177" s="4" t="s">
        <v>273</v>
      </c>
      <c r="L177" s="2" t="s">
        <v>274</v>
      </c>
      <c r="M177" s="4" t="s">
        <v>223</v>
      </c>
      <c r="N177" s="2" t="s">
        <v>809</v>
      </c>
      <c r="O177" s="2" t="s">
        <v>225</v>
      </c>
      <c r="P177" s="2" t="s">
        <v>276</v>
      </c>
      <c r="Q177" s="2"/>
      <c r="R177" s="4" t="s">
        <v>30</v>
      </c>
      <c r="S177" s="5" t="n">
        <v>0</v>
      </c>
      <c r="T177" s="2"/>
    </row>
    <row r="178" customFormat="false" ht="15" hidden="false" customHeight="false" outlineLevel="0" collapsed="false">
      <c r="A178" s="2" t="s">
        <v>810</v>
      </c>
      <c r="B178" s="3" t="n">
        <v>45898</v>
      </c>
      <c r="C178" s="3" t="n">
        <v>45898</v>
      </c>
      <c r="D178" s="2" t="s">
        <v>21</v>
      </c>
      <c r="E178" s="4" t="s">
        <v>33</v>
      </c>
      <c r="F178" s="5" t="n">
        <v>133400</v>
      </c>
      <c r="G178" s="6" t="n">
        <f aca="false">G177+IF(E178="Credit",F178,IF(E178="Debit",-F178,0))</f>
        <v>5680280</v>
      </c>
      <c r="H178" s="4" t="s">
        <v>53</v>
      </c>
      <c r="I178" s="2" t="s">
        <v>278</v>
      </c>
      <c r="J178" s="2" t="s">
        <v>790</v>
      </c>
      <c r="K178" s="4" t="s">
        <v>279</v>
      </c>
      <c r="L178" s="2" t="s">
        <v>280</v>
      </c>
      <c r="M178" s="4" t="s">
        <v>223</v>
      </c>
      <c r="N178" s="2" t="s">
        <v>811</v>
      </c>
      <c r="O178" s="2" t="s">
        <v>225</v>
      </c>
      <c r="P178" s="2" t="s">
        <v>226</v>
      </c>
      <c r="Q178" s="2"/>
      <c r="R178" s="4" t="s">
        <v>30</v>
      </c>
      <c r="S178" s="5" t="n">
        <v>0</v>
      </c>
      <c r="T178" s="2"/>
    </row>
    <row r="179" customFormat="false" ht="15" hidden="false" customHeight="false" outlineLevel="0" collapsed="false">
      <c r="A179" s="2" t="s">
        <v>812</v>
      </c>
      <c r="B179" s="3" t="n">
        <v>45898</v>
      </c>
      <c r="C179" s="3" t="n">
        <v>45898</v>
      </c>
      <c r="D179" s="2" t="s">
        <v>21</v>
      </c>
      <c r="E179" s="4" t="s">
        <v>33</v>
      </c>
      <c r="F179" s="5" t="n">
        <v>54400</v>
      </c>
      <c r="G179" s="6" t="n">
        <f aca="false">G178+IF(E179="Credit",F179,IF(E179="Debit",-F179,0))</f>
        <v>5625880</v>
      </c>
      <c r="H179" s="4" t="s">
        <v>53</v>
      </c>
      <c r="I179" s="2" t="s">
        <v>283</v>
      </c>
      <c r="J179" s="2" t="s">
        <v>790</v>
      </c>
      <c r="K179" s="4" t="s">
        <v>284</v>
      </c>
      <c r="L179" s="2" t="s">
        <v>285</v>
      </c>
      <c r="M179" s="4" t="s">
        <v>223</v>
      </c>
      <c r="N179" s="2" t="s">
        <v>813</v>
      </c>
      <c r="O179" s="2" t="s">
        <v>225</v>
      </c>
      <c r="P179" s="2" t="s">
        <v>287</v>
      </c>
      <c r="Q179" s="2"/>
      <c r="R179" s="4" t="s">
        <v>30</v>
      </c>
      <c r="S179" s="5" t="n">
        <v>0</v>
      </c>
      <c r="T179" s="2"/>
    </row>
    <row r="180" customFormat="false" ht="15" hidden="false" customHeight="false" outlineLevel="0" collapsed="false">
      <c r="A180" s="2" t="s">
        <v>814</v>
      </c>
      <c r="B180" s="3" t="n">
        <v>45901</v>
      </c>
      <c r="C180" s="3" t="n">
        <v>45901</v>
      </c>
      <c r="D180" s="2" t="s">
        <v>21</v>
      </c>
      <c r="E180" s="4" t="s">
        <v>52</v>
      </c>
      <c r="F180" s="5" t="n">
        <v>145730</v>
      </c>
      <c r="G180" s="6" t="n">
        <f aca="false">G179+IF(E180="Credit",F180,IF(E180="Debit",-F180,0))</f>
        <v>5771610</v>
      </c>
      <c r="H180" s="4" t="s">
        <v>99</v>
      </c>
      <c r="I180" s="2" t="s">
        <v>815</v>
      </c>
      <c r="J180" s="2" t="s">
        <v>816</v>
      </c>
      <c r="K180" s="4" t="s">
        <v>764</v>
      </c>
      <c r="L180" s="2" t="s">
        <v>765</v>
      </c>
      <c r="M180" s="4" t="s">
        <v>58</v>
      </c>
      <c r="N180" s="2" t="s">
        <v>817</v>
      </c>
      <c r="O180" s="2" t="s">
        <v>60</v>
      </c>
      <c r="P180" s="2" t="s">
        <v>318</v>
      </c>
      <c r="Q180" s="2" t="s">
        <v>818</v>
      </c>
      <c r="R180" s="4" t="s">
        <v>30</v>
      </c>
      <c r="S180" s="5" t="n">
        <v>22230</v>
      </c>
      <c r="T180" s="2"/>
    </row>
    <row r="181" customFormat="false" ht="15" hidden="false" customHeight="false" outlineLevel="0" collapsed="false">
      <c r="A181" s="2" t="s">
        <v>819</v>
      </c>
      <c r="B181" s="3" t="n">
        <v>45901</v>
      </c>
      <c r="C181" s="3" t="n">
        <v>45901</v>
      </c>
      <c r="D181" s="2" t="s">
        <v>21</v>
      </c>
      <c r="E181" s="4" t="s">
        <v>33</v>
      </c>
      <c r="F181" s="5" t="n">
        <v>68100</v>
      </c>
      <c r="G181" s="6" t="n">
        <f aca="false">G180+IF(E181="Credit",F181,IF(E181="Debit",-F181,0))</f>
        <v>5703510</v>
      </c>
      <c r="H181" s="4" t="s">
        <v>53</v>
      </c>
      <c r="I181" s="2" t="s">
        <v>219</v>
      </c>
      <c r="J181" s="2" t="s">
        <v>820</v>
      </c>
      <c r="K181" s="4" t="s">
        <v>221</v>
      </c>
      <c r="L181" s="2" t="s">
        <v>222</v>
      </c>
      <c r="M181" s="4" t="s">
        <v>223</v>
      </c>
      <c r="N181" s="2" t="s">
        <v>821</v>
      </c>
      <c r="O181" s="2" t="s">
        <v>225</v>
      </c>
      <c r="P181" s="2" t="s">
        <v>226</v>
      </c>
      <c r="Q181" s="2"/>
      <c r="R181" s="4" t="s">
        <v>30</v>
      </c>
      <c r="S181" s="5" t="n">
        <v>0</v>
      </c>
      <c r="T181" s="2"/>
    </row>
    <row r="182" customFormat="false" ht="15" hidden="false" customHeight="false" outlineLevel="0" collapsed="false">
      <c r="A182" s="2" t="s">
        <v>822</v>
      </c>
      <c r="B182" s="3" t="n">
        <v>45901</v>
      </c>
      <c r="C182" s="3" t="n">
        <v>45901</v>
      </c>
      <c r="D182" s="2" t="s">
        <v>21</v>
      </c>
      <c r="E182" s="4" t="s">
        <v>33</v>
      </c>
      <c r="F182" s="5" t="n">
        <v>91900</v>
      </c>
      <c r="G182" s="6" t="n">
        <f aca="false">G181+IF(E182="Credit",F182,IF(E182="Debit",-F182,0))</f>
        <v>5611610</v>
      </c>
      <c r="H182" s="4" t="s">
        <v>53</v>
      </c>
      <c r="I182" s="2" t="s">
        <v>228</v>
      </c>
      <c r="J182" s="2" t="s">
        <v>820</v>
      </c>
      <c r="K182" s="4" t="s">
        <v>229</v>
      </c>
      <c r="L182" s="2" t="s">
        <v>230</v>
      </c>
      <c r="M182" s="4" t="s">
        <v>223</v>
      </c>
      <c r="N182" s="2" t="s">
        <v>823</v>
      </c>
      <c r="O182" s="2" t="s">
        <v>225</v>
      </c>
      <c r="P182" s="2" t="s">
        <v>226</v>
      </c>
      <c r="Q182" s="2"/>
      <c r="R182" s="4" t="s">
        <v>30</v>
      </c>
      <c r="S182" s="5" t="n">
        <v>0</v>
      </c>
      <c r="T182" s="2"/>
    </row>
    <row r="183" customFormat="false" ht="15" hidden="false" customHeight="false" outlineLevel="0" collapsed="false">
      <c r="A183" s="2" t="s">
        <v>824</v>
      </c>
      <c r="B183" s="3" t="n">
        <v>45901</v>
      </c>
      <c r="C183" s="3" t="n">
        <v>45901</v>
      </c>
      <c r="D183" s="2" t="s">
        <v>21</v>
      </c>
      <c r="E183" s="4" t="s">
        <v>33</v>
      </c>
      <c r="F183" s="5" t="n">
        <v>115900</v>
      </c>
      <c r="G183" s="6" t="n">
        <f aca="false">G182+IF(E183="Credit",F183,IF(E183="Debit",-F183,0))</f>
        <v>5495710</v>
      </c>
      <c r="H183" s="4" t="s">
        <v>53</v>
      </c>
      <c r="I183" s="2" t="s">
        <v>233</v>
      </c>
      <c r="J183" s="2" t="s">
        <v>820</v>
      </c>
      <c r="K183" s="4" t="s">
        <v>234</v>
      </c>
      <c r="L183" s="2" t="s">
        <v>235</v>
      </c>
      <c r="M183" s="4" t="s">
        <v>223</v>
      </c>
      <c r="N183" s="2" t="s">
        <v>825</v>
      </c>
      <c r="O183" s="2" t="s">
        <v>225</v>
      </c>
      <c r="P183" s="2" t="s">
        <v>237</v>
      </c>
      <c r="Q183" s="2"/>
      <c r="R183" s="4" t="s">
        <v>30</v>
      </c>
      <c r="S183" s="5" t="n">
        <v>0</v>
      </c>
      <c r="T183" s="2"/>
    </row>
    <row r="184" customFormat="false" ht="15" hidden="false" customHeight="false" outlineLevel="0" collapsed="false">
      <c r="A184" s="2" t="s">
        <v>826</v>
      </c>
      <c r="B184" s="3" t="n">
        <v>45901</v>
      </c>
      <c r="C184" s="3" t="n">
        <v>45901</v>
      </c>
      <c r="D184" s="2" t="s">
        <v>21</v>
      </c>
      <c r="E184" s="4" t="s">
        <v>33</v>
      </c>
      <c r="F184" s="5" t="n">
        <v>72100</v>
      </c>
      <c r="G184" s="6" t="n">
        <f aca="false">G183+IF(E184="Credit",F184,IF(E184="Debit",-F184,0))</f>
        <v>5423610</v>
      </c>
      <c r="H184" s="4" t="s">
        <v>53</v>
      </c>
      <c r="I184" s="2" t="s">
        <v>239</v>
      </c>
      <c r="J184" s="2" t="s">
        <v>820</v>
      </c>
      <c r="K184" s="4" t="s">
        <v>240</v>
      </c>
      <c r="L184" s="2" t="s">
        <v>241</v>
      </c>
      <c r="M184" s="4" t="s">
        <v>223</v>
      </c>
      <c r="N184" s="2" t="s">
        <v>827</v>
      </c>
      <c r="O184" s="2" t="s">
        <v>225</v>
      </c>
      <c r="P184" s="2" t="s">
        <v>243</v>
      </c>
      <c r="Q184" s="2"/>
      <c r="R184" s="4" t="s">
        <v>30</v>
      </c>
      <c r="S184" s="5" t="n">
        <v>0</v>
      </c>
      <c r="T184" s="2"/>
    </row>
    <row r="185" customFormat="false" ht="15" hidden="false" customHeight="false" outlineLevel="0" collapsed="false">
      <c r="A185" s="2" t="s">
        <v>828</v>
      </c>
      <c r="B185" s="3" t="n">
        <v>45901</v>
      </c>
      <c r="C185" s="3" t="n">
        <v>45901</v>
      </c>
      <c r="D185" s="2" t="s">
        <v>21</v>
      </c>
      <c r="E185" s="4" t="s">
        <v>33</v>
      </c>
      <c r="F185" s="5" t="n">
        <v>96400</v>
      </c>
      <c r="G185" s="6" t="n">
        <f aca="false">G184+IF(E185="Credit",F185,IF(E185="Debit",-F185,0))</f>
        <v>5327210</v>
      </c>
      <c r="H185" s="4" t="s">
        <v>53</v>
      </c>
      <c r="I185" s="2" t="s">
        <v>245</v>
      </c>
      <c r="J185" s="2" t="s">
        <v>820</v>
      </c>
      <c r="K185" s="4" t="s">
        <v>246</v>
      </c>
      <c r="L185" s="2" t="s">
        <v>247</v>
      </c>
      <c r="M185" s="4" t="s">
        <v>223</v>
      </c>
      <c r="N185" s="2" t="s">
        <v>829</v>
      </c>
      <c r="O185" s="2" t="s">
        <v>225</v>
      </c>
      <c r="P185" s="2" t="s">
        <v>226</v>
      </c>
      <c r="Q185" s="2"/>
      <c r="R185" s="4" t="s">
        <v>30</v>
      </c>
      <c r="S185" s="5" t="n">
        <v>0</v>
      </c>
      <c r="T185" s="2"/>
    </row>
    <row r="186" customFormat="false" ht="15" hidden="false" customHeight="false" outlineLevel="0" collapsed="false">
      <c r="A186" s="2" t="s">
        <v>830</v>
      </c>
      <c r="B186" s="3" t="n">
        <v>45901</v>
      </c>
      <c r="C186" s="3" t="n">
        <v>45901</v>
      </c>
      <c r="D186" s="2" t="s">
        <v>21</v>
      </c>
      <c r="E186" s="4" t="s">
        <v>33</v>
      </c>
      <c r="F186" s="5" t="n">
        <v>62800</v>
      </c>
      <c r="G186" s="6" t="n">
        <f aca="false">G185+IF(E186="Credit",F186,IF(E186="Debit",-F186,0))</f>
        <v>5264410</v>
      </c>
      <c r="H186" s="4" t="s">
        <v>53</v>
      </c>
      <c r="I186" s="2" t="s">
        <v>250</v>
      </c>
      <c r="J186" s="2" t="s">
        <v>820</v>
      </c>
      <c r="K186" s="4" t="s">
        <v>251</v>
      </c>
      <c r="L186" s="2" t="s">
        <v>252</v>
      </c>
      <c r="M186" s="4" t="s">
        <v>223</v>
      </c>
      <c r="N186" s="2" t="s">
        <v>831</v>
      </c>
      <c r="O186" s="2" t="s">
        <v>225</v>
      </c>
      <c r="P186" s="2" t="s">
        <v>226</v>
      </c>
      <c r="Q186" s="2"/>
      <c r="R186" s="4" t="s">
        <v>30</v>
      </c>
      <c r="S186" s="5" t="n">
        <v>0</v>
      </c>
      <c r="T186" s="2"/>
    </row>
    <row r="187" customFormat="false" ht="15" hidden="false" customHeight="false" outlineLevel="0" collapsed="false">
      <c r="A187" s="2" t="s">
        <v>832</v>
      </c>
      <c r="B187" s="3" t="n">
        <v>45901</v>
      </c>
      <c r="C187" s="3" t="n">
        <v>45901</v>
      </c>
      <c r="D187" s="2" t="s">
        <v>21</v>
      </c>
      <c r="E187" s="4" t="s">
        <v>33</v>
      </c>
      <c r="F187" s="5" t="n">
        <v>78700</v>
      </c>
      <c r="G187" s="6" t="n">
        <f aca="false">G186+IF(E187="Credit",F187,IF(E187="Debit",-F187,0))</f>
        <v>5185710</v>
      </c>
      <c r="H187" s="4" t="s">
        <v>53</v>
      </c>
      <c r="I187" s="2" t="s">
        <v>255</v>
      </c>
      <c r="J187" s="2" t="s">
        <v>820</v>
      </c>
      <c r="K187" s="4" t="s">
        <v>256</v>
      </c>
      <c r="L187" s="2" t="s">
        <v>257</v>
      </c>
      <c r="M187" s="4" t="s">
        <v>223</v>
      </c>
      <c r="N187" s="2" t="s">
        <v>833</v>
      </c>
      <c r="O187" s="2" t="s">
        <v>225</v>
      </c>
      <c r="P187" s="2" t="s">
        <v>237</v>
      </c>
      <c r="Q187" s="2"/>
      <c r="R187" s="4" t="s">
        <v>30</v>
      </c>
      <c r="S187" s="5" t="n">
        <v>0</v>
      </c>
      <c r="T187" s="2"/>
    </row>
    <row r="188" customFormat="false" ht="15" hidden="false" customHeight="false" outlineLevel="0" collapsed="false">
      <c r="A188" s="2" t="s">
        <v>834</v>
      </c>
      <c r="B188" s="3" t="n">
        <v>45901</v>
      </c>
      <c r="C188" s="3" t="n">
        <v>45901</v>
      </c>
      <c r="D188" s="2" t="s">
        <v>21</v>
      </c>
      <c r="E188" s="4" t="s">
        <v>33</v>
      </c>
      <c r="F188" s="5" t="n">
        <v>86500</v>
      </c>
      <c r="G188" s="6" t="n">
        <f aca="false">G187+IF(E188="Credit",F188,IF(E188="Debit",-F188,0))</f>
        <v>5099210</v>
      </c>
      <c r="H188" s="4" t="s">
        <v>53</v>
      </c>
      <c r="I188" s="2" t="s">
        <v>260</v>
      </c>
      <c r="J188" s="2" t="s">
        <v>820</v>
      </c>
      <c r="K188" s="4" t="s">
        <v>261</v>
      </c>
      <c r="L188" s="2" t="s">
        <v>262</v>
      </c>
      <c r="M188" s="4" t="s">
        <v>223</v>
      </c>
      <c r="N188" s="2" t="s">
        <v>835</v>
      </c>
      <c r="O188" s="2" t="s">
        <v>225</v>
      </c>
      <c r="P188" s="2" t="s">
        <v>264</v>
      </c>
      <c r="Q188" s="2"/>
      <c r="R188" s="4" t="s">
        <v>30</v>
      </c>
      <c r="S188" s="5" t="n">
        <v>0</v>
      </c>
      <c r="T188" s="2"/>
    </row>
    <row r="189" customFormat="false" ht="15" hidden="false" customHeight="false" outlineLevel="0" collapsed="false">
      <c r="A189" s="2" t="s">
        <v>836</v>
      </c>
      <c r="B189" s="3" t="n">
        <v>45901</v>
      </c>
      <c r="C189" s="3" t="n">
        <v>45901</v>
      </c>
      <c r="D189" s="2" t="s">
        <v>21</v>
      </c>
      <c r="E189" s="4" t="s">
        <v>33</v>
      </c>
      <c r="F189" s="5" t="n">
        <v>58900</v>
      </c>
      <c r="G189" s="6" t="n">
        <f aca="false">G188+IF(E189="Credit",F189,IF(E189="Debit",-F189,0))</f>
        <v>5040310</v>
      </c>
      <c r="H189" s="4" t="s">
        <v>53</v>
      </c>
      <c r="I189" s="2" t="s">
        <v>266</v>
      </c>
      <c r="J189" s="2" t="s">
        <v>820</v>
      </c>
      <c r="K189" s="4" t="s">
        <v>267</v>
      </c>
      <c r="L189" s="2" t="s">
        <v>268</v>
      </c>
      <c r="M189" s="4" t="s">
        <v>223</v>
      </c>
      <c r="N189" s="2" t="s">
        <v>837</v>
      </c>
      <c r="O189" s="2" t="s">
        <v>225</v>
      </c>
      <c r="P189" s="2" t="s">
        <v>270</v>
      </c>
      <c r="Q189" s="2"/>
      <c r="R189" s="4" t="s">
        <v>30</v>
      </c>
      <c r="S189" s="5" t="n">
        <v>0</v>
      </c>
      <c r="T189" s="2"/>
    </row>
    <row r="190" customFormat="false" ht="15" hidden="false" customHeight="false" outlineLevel="0" collapsed="false">
      <c r="A190" s="2" t="s">
        <v>838</v>
      </c>
      <c r="B190" s="3" t="n">
        <v>45901</v>
      </c>
      <c r="C190" s="3" t="n">
        <v>45901</v>
      </c>
      <c r="D190" s="2" t="s">
        <v>21</v>
      </c>
      <c r="E190" s="4" t="s">
        <v>33</v>
      </c>
      <c r="F190" s="5" t="n">
        <v>83600</v>
      </c>
      <c r="G190" s="6" t="n">
        <f aca="false">G189+IF(E190="Credit",F190,IF(E190="Debit",-F190,0))</f>
        <v>4956710</v>
      </c>
      <c r="H190" s="4" t="s">
        <v>53</v>
      </c>
      <c r="I190" s="2" t="s">
        <v>272</v>
      </c>
      <c r="J190" s="2" t="s">
        <v>820</v>
      </c>
      <c r="K190" s="4" t="s">
        <v>273</v>
      </c>
      <c r="L190" s="2" t="s">
        <v>274</v>
      </c>
      <c r="M190" s="4" t="s">
        <v>223</v>
      </c>
      <c r="N190" s="2" t="s">
        <v>839</v>
      </c>
      <c r="O190" s="2" t="s">
        <v>225</v>
      </c>
      <c r="P190" s="2" t="s">
        <v>276</v>
      </c>
      <c r="Q190" s="2"/>
      <c r="R190" s="4" t="s">
        <v>30</v>
      </c>
      <c r="S190" s="5" t="n">
        <v>0</v>
      </c>
      <c r="T190" s="2"/>
    </row>
    <row r="191" customFormat="false" ht="15" hidden="false" customHeight="false" outlineLevel="0" collapsed="false">
      <c r="A191" s="2" t="s">
        <v>840</v>
      </c>
      <c r="B191" s="3" t="n">
        <v>45901</v>
      </c>
      <c r="C191" s="3" t="n">
        <v>45901</v>
      </c>
      <c r="D191" s="2" t="s">
        <v>21</v>
      </c>
      <c r="E191" s="4" t="s">
        <v>33</v>
      </c>
      <c r="F191" s="5" t="n">
        <v>137000</v>
      </c>
      <c r="G191" s="6" t="n">
        <f aca="false">G190+IF(E191="Credit",F191,IF(E191="Debit",-F191,0))</f>
        <v>4819710</v>
      </c>
      <c r="H191" s="4" t="s">
        <v>53</v>
      </c>
      <c r="I191" s="2" t="s">
        <v>278</v>
      </c>
      <c r="J191" s="2" t="s">
        <v>820</v>
      </c>
      <c r="K191" s="4" t="s">
        <v>279</v>
      </c>
      <c r="L191" s="2" t="s">
        <v>280</v>
      </c>
      <c r="M191" s="4" t="s">
        <v>223</v>
      </c>
      <c r="N191" s="2" t="s">
        <v>841</v>
      </c>
      <c r="O191" s="2" t="s">
        <v>225</v>
      </c>
      <c r="P191" s="2" t="s">
        <v>226</v>
      </c>
      <c r="Q191" s="2"/>
      <c r="R191" s="4" t="s">
        <v>30</v>
      </c>
      <c r="S191" s="5" t="n">
        <v>0</v>
      </c>
      <c r="T191" s="2"/>
    </row>
    <row r="192" customFormat="false" ht="15" hidden="false" customHeight="false" outlineLevel="0" collapsed="false">
      <c r="A192" s="2" t="s">
        <v>842</v>
      </c>
      <c r="B192" s="3" t="n">
        <v>45901</v>
      </c>
      <c r="C192" s="3" t="n">
        <v>45901</v>
      </c>
      <c r="D192" s="2" t="s">
        <v>21</v>
      </c>
      <c r="E192" s="4" t="s">
        <v>33</v>
      </c>
      <c r="F192" s="5" t="n">
        <v>55400</v>
      </c>
      <c r="G192" s="6" t="n">
        <f aca="false">G191+IF(E192="Credit",F192,IF(E192="Debit",-F192,0))</f>
        <v>4764310</v>
      </c>
      <c r="H192" s="4" t="s">
        <v>53</v>
      </c>
      <c r="I192" s="2" t="s">
        <v>283</v>
      </c>
      <c r="J192" s="2" t="s">
        <v>820</v>
      </c>
      <c r="K192" s="4" t="s">
        <v>284</v>
      </c>
      <c r="L192" s="2" t="s">
        <v>285</v>
      </c>
      <c r="M192" s="4" t="s">
        <v>223</v>
      </c>
      <c r="N192" s="2" t="s">
        <v>843</v>
      </c>
      <c r="O192" s="2" t="s">
        <v>225</v>
      </c>
      <c r="P192" s="2" t="s">
        <v>287</v>
      </c>
      <c r="Q192" s="2"/>
      <c r="R192" s="4" t="s">
        <v>30</v>
      </c>
      <c r="S192" s="5" t="n">
        <v>0</v>
      </c>
      <c r="T192" s="2"/>
    </row>
    <row r="193" customFormat="false" ht="15" hidden="false" customHeight="false" outlineLevel="0" collapsed="false">
      <c r="A193" s="2" t="s">
        <v>844</v>
      </c>
      <c r="B193" s="3" t="n">
        <v>45903</v>
      </c>
      <c r="C193" s="3" t="n">
        <v>45903</v>
      </c>
      <c r="D193" s="2" t="s">
        <v>21</v>
      </c>
      <c r="E193" s="4" t="s">
        <v>33</v>
      </c>
      <c r="F193" s="5" t="n">
        <v>95000</v>
      </c>
      <c r="G193" s="6" t="n">
        <f aca="false">G192+IF(E193="Credit",F193,IF(E193="Debit",-F193,0))</f>
        <v>4669310</v>
      </c>
      <c r="H193" s="4" t="s">
        <v>43</v>
      </c>
      <c r="I193" s="2" t="s">
        <v>44</v>
      </c>
      <c r="J193" s="2" t="s">
        <v>845</v>
      </c>
      <c r="K193" s="4" t="s">
        <v>46</v>
      </c>
      <c r="L193" s="2" t="s">
        <v>47</v>
      </c>
      <c r="M193" s="4" t="s">
        <v>38</v>
      </c>
      <c r="N193" s="2" t="s">
        <v>846</v>
      </c>
      <c r="O193" s="2" t="s">
        <v>49</v>
      </c>
      <c r="P193" s="2" t="s">
        <v>50</v>
      </c>
      <c r="Q193" s="2"/>
      <c r="R193" s="4" t="s">
        <v>30</v>
      </c>
      <c r="S193" s="5" t="n">
        <v>0</v>
      </c>
      <c r="T193" s="2"/>
    </row>
    <row r="194" customFormat="false" ht="15" hidden="false" customHeight="false" outlineLevel="0" collapsed="false">
      <c r="A194" s="2" t="s">
        <v>847</v>
      </c>
      <c r="B194" s="3" t="n">
        <v>45905</v>
      </c>
      <c r="C194" s="3" t="n">
        <v>45905</v>
      </c>
      <c r="D194" s="2" t="s">
        <v>21</v>
      </c>
      <c r="E194" s="4" t="s">
        <v>33</v>
      </c>
      <c r="F194" s="5" t="n">
        <v>145000</v>
      </c>
      <c r="G194" s="6" t="n">
        <f aca="false">G193+IF(E194="Credit",F194,IF(E194="Debit",-F194,0))</f>
        <v>4524310</v>
      </c>
      <c r="H194" s="4" t="s">
        <v>64</v>
      </c>
      <c r="I194" s="2" t="s">
        <v>65</v>
      </c>
      <c r="J194" s="2" t="s">
        <v>848</v>
      </c>
      <c r="K194" s="4" t="s">
        <v>67</v>
      </c>
      <c r="L194" s="2" t="s">
        <v>68</v>
      </c>
      <c r="M194" s="4" t="s">
        <v>69</v>
      </c>
      <c r="N194" s="2" t="s">
        <v>849</v>
      </c>
      <c r="O194" s="2" t="s">
        <v>71</v>
      </c>
      <c r="P194" s="2" t="s">
        <v>72</v>
      </c>
      <c r="Q194" s="2"/>
      <c r="R194" s="4" t="s">
        <v>30</v>
      </c>
      <c r="S194" s="5" t="n">
        <v>0</v>
      </c>
      <c r="T194" s="2"/>
    </row>
    <row r="195" customFormat="false" ht="15" hidden="false" customHeight="false" outlineLevel="0" collapsed="false">
      <c r="A195" s="2" t="s">
        <v>850</v>
      </c>
      <c r="B195" s="3" t="n">
        <v>45907</v>
      </c>
      <c r="C195" s="3" t="n">
        <v>45907</v>
      </c>
      <c r="D195" s="2" t="s">
        <v>21</v>
      </c>
      <c r="E195" s="4" t="s">
        <v>33</v>
      </c>
      <c r="F195" s="5" t="n">
        <v>12000</v>
      </c>
      <c r="G195" s="6" t="n">
        <f aca="false">G194+IF(E195="Credit",F195,IF(E195="Debit",-F195,0))</f>
        <v>4512310</v>
      </c>
      <c r="H195" s="4" t="s">
        <v>64</v>
      </c>
      <c r="I195" s="2" t="s">
        <v>83</v>
      </c>
      <c r="J195" s="2" t="s">
        <v>851</v>
      </c>
      <c r="K195" s="4" t="s">
        <v>85</v>
      </c>
      <c r="L195" s="2" t="s">
        <v>86</v>
      </c>
      <c r="M195" s="4" t="s">
        <v>38</v>
      </c>
      <c r="N195" s="2" t="s">
        <v>852</v>
      </c>
      <c r="O195" s="2" t="s">
        <v>88</v>
      </c>
      <c r="P195" s="2" t="s">
        <v>89</v>
      </c>
      <c r="Q195" s="2"/>
      <c r="R195" s="4" t="s">
        <v>30</v>
      </c>
      <c r="S195" s="5" t="n">
        <v>0</v>
      </c>
      <c r="T195" s="2"/>
    </row>
    <row r="196" customFormat="false" ht="15" hidden="false" customHeight="false" outlineLevel="0" collapsed="false">
      <c r="A196" s="2" t="s">
        <v>853</v>
      </c>
      <c r="B196" s="3" t="n">
        <v>45910</v>
      </c>
      <c r="C196" s="3" t="n">
        <v>45910</v>
      </c>
      <c r="D196" s="2" t="s">
        <v>21</v>
      </c>
      <c r="E196" s="4" t="s">
        <v>33</v>
      </c>
      <c r="F196" s="5" t="n">
        <v>74300</v>
      </c>
      <c r="G196" s="6" t="n">
        <f aca="false">G195+IF(E196="Credit",F196,IF(E196="Debit",-F196,0))</f>
        <v>4438010</v>
      </c>
      <c r="H196" s="4" t="s">
        <v>115</v>
      </c>
      <c r="I196" s="2" t="s">
        <v>116</v>
      </c>
      <c r="J196" s="2" t="s">
        <v>854</v>
      </c>
      <c r="K196" s="4" t="s">
        <v>118</v>
      </c>
      <c r="L196" s="2" t="s">
        <v>119</v>
      </c>
      <c r="M196" s="4" t="s">
        <v>38</v>
      </c>
      <c r="N196" s="2" t="s">
        <v>855</v>
      </c>
      <c r="O196" s="2" t="s">
        <v>121</v>
      </c>
      <c r="P196" s="2" t="s">
        <v>122</v>
      </c>
      <c r="Q196" s="2"/>
      <c r="R196" s="4" t="s">
        <v>30</v>
      </c>
      <c r="S196" s="5" t="n">
        <v>0</v>
      </c>
      <c r="T196" s="2"/>
    </row>
    <row r="197" customFormat="false" ht="15" hidden="false" customHeight="false" outlineLevel="0" collapsed="false">
      <c r="A197" s="2" t="s">
        <v>856</v>
      </c>
      <c r="B197" s="3" t="n">
        <v>45910</v>
      </c>
      <c r="C197" s="3" t="n">
        <v>45910</v>
      </c>
      <c r="D197" s="2" t="s">
        <v>21</v>
      </c>
      <c r="E197" s="4" t="s">
        <v>52</v>
      </c>
      <c r="F197" s="5" t="n">
        <v>10800</v>
      </c>
      <c r="G197" s="6" t="n">
        <f aca="false">G196+IF(E197="Credit",F197,IF(E197="Debit",-F197,0))</f>
        <v>4448810</v>
      </c>
      <c r="H197" s="4" t="s">
        <v>53</v>
      </c>
      <c r="I197" s="2" t="s">
        <v>370</v>
      </c>
      <c r="J197" s="2" t="s">
        <v>371</v>
      </c>
      <c r="K197" s="4" t="s">
        <v>67</v>
      </c>
      <c r="L197" s="2" t="s">
        <v>68</v>
      </c>
      <c r="M197" s="4" t="s">
        <v>69</v>
      </c>
      <c r="N197" s="2" t="s">
        <v>857</v>
      </c>
      <c r="O197" s="2" t="s">
        <v>373</v>
      </c>
      <c r="P197" s="2" t="s">
        <v>374</v>
      </c>
      <c r="Q197" s="2"/>
      <c r="R197" s="4" t="s">
        <v>30</v>
      </c>
      <c r="S197" s="5" t="n">
        <v>0</v>
      </c>
      <c r="T197" s="2"/>
    </row>
    <row r="198" customFormat="false" ht="15" hidden="false" customHeight="false" outlineLevel="0" collapsed="false">
      <c r="A198" s="2" t="s">
        <v>858</v>
      </c>
      <c r="B198" s="3" t="n">
        <v>45912</v>
      </c>
      <c r="C198" s="3" t="n">
        <v>45912</v>
      </c>
      <c r="D198" s="2" t="s">
        <v>21</v>
      </c>
      <c r="E198" s="4" t="s">
        <v>33</v>
      </c>
      <c r="F198" s="5" t="n">
        <v>42600</v>
      </c>
      <c r="G198" s="6" t="n">
        <f aca="false">G197+IF(E198="Credit",F198,IF(E198="Debit",-F198,0))</f>
        <v>4406210</v>
      </c>
      <c r="H198" s="4" t="s">
        <v>34</v>
      </c>
      <c r="I198" s="2" t="s">
        <v>528</v>
      </c>
      <c r="J198" s="2" t="s">
        <v>528</v>
      </c>
      <c r="K198" s="4" t="s">
        <v>133</v>
      </c>
      <c r="L198" s="2" t="s">
        <v>134</v>
      </c>
      <c r="M198" s="4" t="s">
        <v>38</v>
      </c>
      <c r="N198" s="2" t="s">
        <v>859</v>
      </c>
      <c r="O198" s="2" t="s">
        <v>136</v>
      </c>
      <c r="P198" s="2" t="s">
        <v>137</v>
      </c>
      <c r="Q198" s="2"/>
      <c r="R198" s="4" t="s">
        <v>30</v>
      </c>
      <c r="S198" s="5" t="n">
        <v>0</v>
      </c>
      <c r="T198" s="2"/>
    </row>
    <row r="199" customFormat="false" ht="15" hidden="false" customHeight="false" outlineLevel="0" collapsed="false">
      <c r="A199" s="2" t="s">
        <v>860</v>
      </c>
      <c r="B199" s="3" t="n">
        <v>45914</v>
      </c>
      <c r="C199" s="3" t="n">
        <v>45914</v>
      </c>
      <c r="D199" s="2" t="s">
        <v>21</v>
      </c>
      <c r="E199" s="4" t="s">
        <v>33</v>
      </c>
      <c r="F199" s="5" t="n">
        <v>42400</v>
      </c>
      <c r="G199" s="6" t="n">
        <f aca="false">G198+IF(E199="Credit",F199,IF(E199="Debit",-F199,0))</f>
        <v>4363810</v>
      </c>
      <c r="H199" s="4" t="s">
        <v>99</v>
      </c>
      <c r="I199" s="2" t="s">
        <v>139</v>
      </c>
      <c r="J199" s="2" t="s">
        <v>861</v>
      </c>
      <c r="K199" s="4" t="s">
        <v>141</v>
      </c>
      <c r="L199" s="2" t="s">
        <v>142</v>
      </c>
      <c r="M199" s="4" t="s">
        <v>143</v>
      </c>
      <c r="N199" s="2" t="s">
        <v>862</v>
      </c>
      <c r="O199" s="2" t="s">
        <v>145</v>
      </c>
      <c r="P199" s="2" t="s">
        <v>146</v>
      </c>
      <c r="Q199" s="2"/>
      <c r="R199" s="4" t="s">
        <v>30</v>
      </c>
      <c r="S199" s="5" t="n">
        <v>0</v>
      </c>
      <c r="T199" s="2"/>
    </row>
    <row r="200" customFormat="false" ht="15" hidden="false" customHeight="false" outlineLevel="0" collapsed="false">
      <c r="A200" s="2" t="s">
        <v>863</v>
      </c>
      <c r="B200" s="3" t="n">
        <v>45914</v>
      </c>
      <c r="C200" s="3" t="n">
        <v>45914</v>
      </c>
      <c r="D200" s="2" t="s">
        <v>21</v>
      </c>
      <c r="E200" s="4" t="s">
        <v>33</v>
      </c>
      <c r="F200" s="5" t="n">
        <v>14900</v>
      </c>
      <c r="G200" s="6" t="n">
        <f aca="false">G199+IF(E200="Credit",F200,IF(E200="Debit",-F200,0))</f>
        <v>4348910</v>
      </c>
      <c r="H200" s="4" t="s">
        <v>34</v>
      </c>
      <c r="I200" s="2" t="s">
        <v>561</v>
      </c>
      <c r="J200" s="2" t="s">
        <v>562</v>
      </c>
      <c r="K200" s="4" t="s">
        <v>126</v>
      </c>
      <c r="L200" s="2" t="s">
        <v>127</v>
      </c>
      <c r="M200" s="4" t="s">
        <v>38</v>
      </c>
      <c r="N200" s="2" t="s">
        <v>864</v>
      </c>
      <c r="O200" s="2" t="s">
        <v>129</v>
      </c>
      <c r="P200" s="2" t="s">
        <v>130</v>
      </c>
      <c r="Q200" s="2"/>
      <c r="R200" s="4" t="s">
        <v>30</v>
      </c>
      <c r="S200" s="5" t="n">
        <v>0</v>
      </c>
      <c r="T200" s="2"/>
    </row>
    <row r="201" customFormat="false" ht="15" hidden="false" customHeight="false" outlineLevel="0" collapsed="false">
      <c r="A201" s="2" t="s">
        <v>865</v>
      </c>
      <c r="B201" s="3" t="n">
        <v>45915</v>
      </c>
      <c r="C201" s="3" t="n">
        <v>45915</v>
      </c>
      <c r="D201" s="2" t="s">
        <v>21</v>
      </c>
      <c r="E201" s="4" t="s">
        <v>33</v>
      </c>
      <c r="F201" s="5" t="n">
        <v>27630</v>
      </c>
      <c r="G201" s="6" t="n">
        <f aca="false">G200+IF(E201="Credit",F201,IF(E201="Debit",-F201,0))</f>
        <v>4321280</v>
      </c>
      <c r="H201" s="4" t="s">
        <v>64</v>
      </c>
      <c r="I201" s="2" t="s">
        <v>148</v>
      </c>
      <c r="J201" s="2" t="s">
        <v>866</v>
      </c>
      <c r="K201" s="4" t="s">
        <v>150</v>
      </c>
      <c r="L201" s="2" t="s">
        <v>151</v>
      </c>
      <c r="M201" s="4" t="s">
        <v>38</v>
      </c>
      <c r="N201" s="2" t="s">
        <v>867</v>
      </c>
      <c r="O201" s="2" t="s">
        <v>88</v>
      </c>
      <c r="P201" s="2" t="s">
        <v>153</v>
      </c>
      <c r="Q201" s="2"/>
      <c r="R201" s="4" t="s">
        <v>30</v>
      </c>
      <c r="S201" s="5" t="n">
        <v>0</v>
      </c>
      <c r="T201" s="2"/>
    </row>
    <row r="202" customFormat="false" ht="15" hidden="false" customHeight="false" outlineLevel="0" collapsed="false">
      <c r="A202" s="2" t="s">
        <v>868</v>
      </c>
      <c r="B202" s="3" t="n">
        <v>45915</v>
      </c>
      <c r="C202" s="3" t="n">
        <v>45915</v>
      </c>
      <c r="D202" s="2" t="s">
        <v>21</v>
      </c>
      <c r="E202" s="4" t="s">
        <v>33</v>
      </c>
      <c r="F202" s="5" t="n">
        <v>139000</v>
      </c>
      <c r="G202" s="6" t="n">
        <f aca="false">G201+IF(E202="Credit",F202,IF(E202="Debit",-F202,0))</f>
        <v>4182280</v>
      </c>
      <c r="H202" s="4" t="s">
        <v>99</v>
      </c>
      <c r="I202" s="2" t="s">
        <v>500</v>
      </c>
      <c r="J202" s="2" t="s">
        <v>869</v>
      </c>
      <c r="K202" s="4" t="s">
        <v>502</v>
      </c>
      <c r="L202" s="2" t="s">
        <v>503</v>
      </c>
      <c r="M202" s="4" t="s">
        <v>143</v>
      </c>
      <c r="N202" s="2" t="s">
        <v>870</v>
      </c>
      <c r="O202" s="2" t="s">
        <v>177</v>
      </c>
      <c r="P202" s="2" t="s">
        <v>505</v>
      </c>
      <c r="Q202" s="2"/>
      <c r="R202" s="4" t="s">
        <v>30</v>
      </c>
      <c r="S202" s="5" t="n">
        <v>0</v>
      </c>
      <c r="T202" s="2"/>
    </row>
    <row r="203" customFormat="false" ht="15" hidden="false" customHeight="false" outlineLevel="0" collapsed="false">
      <c r="A203" s="2" t="s">
        <v>871</v>
      </c>
      <c r="B203" s="3" t="n">
        <v>45918</v>
      </c>
      <c r="C203" s="3" t="n">
        <v>45918</v>
      </c>
      <c r="D203" s="2" t="s">
        <v>21</v>
      </c>
      <c r="E203" s="4" t="s">
        <v>52</v>
      </c>
      <c r="F203" s="5" t="n">
        <v>195068</v>
      </c>
      <c r="G203" s="6" t="n">
        <f aca="false">G202+IF(E203="Credit",F203,IF(E203="Debit",-F203,0))</f>
        <v>4377348</v>
      </c>
      <c r="H203" s="4" t="s">
        <v>74</v>
      </c>
      <c r="I203" s="2" t="s">
        <v>872</v>
      </c>
      <c r="J203" s="2" t="s">
        <v>873</v>
      </c>
      <c r="K203" s="4" t="s">
        <v>519</v>
      </c>
      <c r="L203" s="2" t="s">
        <v>520</v>
      </c>
      <c r="M203" s="4" t="s">
        <v>58</v>
      </c>
      <c r="N203" s="2" t="s">
        <v>874</v>
      </c>
      <c r="O203" s="2" t="s">
        <v>60</v>
      </c>
      <c r="P203" s="2" t="s">
        <v>354</v>
      </c>
      <c r="Q203" s="2" t="s">
        <v>875</v>
      </c>
      <c r="R203" s="4" t="s">
        <v>30</v>
      </c>
      <c r="S203" s="5" t="n">
        <v>20900</v>
      </c>
      <c r="T203" s="2" t="s">
        <v>876</v>
      </c>
    </row>
    <row r="204" customFormat="false" ht="15" hidden="false" customHeight="false" outlineLevel="0" collapsed="false">
      <c r="A204" s="2" t="s">
        <v>877</v>
      </c>
      <c r="B204" s="3" t="n">
        <v>45919</v>
      </c>
      <c r="C204" s="3" t="n">
        <v>45919</v>
      </c>
      <c r="D204" s="2" t="s">
        <v>21</v>
      </c>
      <c r="E204" s="4" t="s">
        <v>33</v>
      </c>
      <c r="F204" s="5" t="n">
        <v>15360</v>
      </c>
      <c r="G204" s="6" t="n">
        <f aca="false">G203+IF(E204="Credit",F204,IF(E204="Debit",-F204,0))</f>
        <v>4361988</v>
      </c>
      <c r="H204" s="4" t="s">
        <v>348</v>
      </c>
      <c r="I204" s="2" t="s">
        <v>878</v>
      </c>
      <c r="J204" s="2" t="s">
        <v>879</v>
      </c>
      <c r="K204" s="4" t="s">
        <v>880</v>
      </c>
      <c r="L204" s="2" t="s">
        <v>881</v>
      </c>
      <c r="M204" s="4" t="s">
        <v>167</v>
      </c>
      <c r="N204" s="2" t="s">
        <v>882</v>
      </c>
      <c r="O204" s="2" t="s">
        <v>160</v>
      </c>
      <c r="P204" s="2" t="s">
        <v>883</v>
      </c>
      <c r="Q204" s="2" t="s">
        <v>884</v>
      </c>
      <c r="R204" s="4" t="s">
        <v>30</v>
      </c>
      <c r="S204" s="5" t="n">
        <v>3360</v>
      </c>
      <c r="T204" s="2"/>
    </row>
    <row r="205" customFormat="false" ht="15" hidden="false" customHeight="false" outlineLevel="0" collapsed="false">
      <c r="A205" s="2" t="s">
        <v>885</v>
      </c>
      <c r="B205" s="3" t="n">
        <v>45919</v>
      </c>
      <c r="C205" s="3" t="n">
        <v>45919</v>
      </c>
      <c r="D205" s="2" t="s">
        <v>21</v>
      </c>
      <c r="E205" s="4" t="s">
        <v>33</v>
      </c>
      <c r="F205" s="5" t="n">
        <v>800</v>
      </c>
      <c r="G205" s="6" t="n">
        <f aca="false">G204+IF(E205="Credit",F205,IF(E205="Debit",-F205,0))</f>
        <v>4361188</v>
      </c>
      <c r="H205" s="4" t="s">
        <v>53</v>
      </c>
      <c r="I205" s="2" t="s">
        <v>214</v>
      </c>
      <c r="J205" s="2" t="s">
        <v>886</v>
      </c>
      <c r="K205" s="4" t="s">
        <v>67</v>
      </c>
      <c r="L205" s="2" t="s">
        <v>68</v>
      </c>
      <c r="M205" s="4" t="s">
        <v>69</v>
      </c>
      <c r="N205" s="2" t="s">
        <v>887</v>
      </c>
      <c r="O205" s="2" t="s">
        <v>96</v>
      </c>
      <c r="P205" s="2" t="s">
        <v>217</v>
      </c>
      <c r="Q205" s="2"/>
      <c r="R205" s="4" t="s">
        <v>30</v>
      </c>
      <c r="S205" s="5" t="n">
        <v>0</v>
      </c>
      <c r="T205" s="2"/>
    </row>
    <row r="206" customFormat="false" ht="15" hidden="false" customHeight="false" outlineLevel="0" collapsed="false">
      <c r="A206" s="2" t="s">
        <v>888</v>
      </c>
      <c r="B206" s="3" t="n">
        <v>45920</v>
      </c>
      <c r="C206" s="3" t="n">
        <v>45920</v>
      </c>
      <c r="D206" s="2" t="s">
        <v>21</v>
      </c>
      <c r="E206" s="4" t="s">
        <v>33</v>
      </c>
      <c r="F206" s="5" t="n">
        <v>154600</v>
      </c>
      <c r="G206" s="6" t="n">
        <f aca="false">G205+IF(E206="Credit",F206,IF(E206="Debit",-F206,0))</f>
        <v>4206588</v>
      </c>
      <c r="H206" s="4" t="s">
        <v>99</v>
      </c>
      <c r="I206" s="2" t="s">
        <v>172</v>
      </c>
      <c r="J206" s="2" t="s">
        <v>889</v>
      </c>
      <c r="K206" s="4" t="s">
        <v>174</v>
      </c>
      <c r="L206" s="2" t="s">
        <v>175</v>
      </c>
      <c r="M206" s="4" t="s">
        <v>143</v>
      </c>
      <c r="N206" s="2" t="s">
        <v>890</v>
      </c>
      <c r="O206" s="2" t="s">
        <v>177</v>
      </c>
      <c r="P206" s="2" t="s">
        <v>178</v>
      </c>
      <c r="Q206" s="2"/>
      <c r="R206" s="4" t="s">
        <v>30</v>
      </c>
      <c r="S206" s="5" t="n">
        <v>0</v>
      </c>
      <c r="T206" s="2"/>
    </row>
    <row r="207" customFormat="false" ht="15" hidden="false" customHeight="false" outlineLevel="0" collapsed="false">
      <c r="A207" s="2" t="s">
        <v>891</v>
      </c>
      <c r="B207" s="3" t="n">
        <v>45921</v>
      </c>
      <c r="C207" s="3" t="n">
        <v>45921</v>
      </c>
      <c r="D207" s="2" t="s">
        <v>21</v>
      </c>
      <c r="E207" s="4" t="s">
        <v>52</v>
      </c>
      <c r="F207" s="5" t="n">
        <v>347392</v>
      </c>
      <c r="G207" s="6" t="n">
        <f aca="false">G206+IF(E207="Credit",F207,IF(E207="Debit",-F207,0))</f>
        <v>4553980</v>
      </c>
      <c r="H207" s="4" t="s">
        <v>99</v>
      </c>
      <c r="I207" s="2" t="s">
        <v>892</v>
      </c>
      <c r="J207" s="2" t="s">
        <v>893</v>
      </c>
      <c r="K207" s="4" t="s">
        <v>894</v>
      </c>
      <c r="L207" s="2" t="s">
        <v>895</v>
      </c>
      <c r="M207" s="4" t="s">
        <v>58</v>
      </c>
      <c r="N207" s="2" t="s">
        <v>896</v>
      </c>
      <c r="O207" s="2" t="s">
        <v>60</v>
      </c>
      <c r="P207" s="2" t="s">
        <v>897</v>
      </c>
      <c r="Q207" s="2" t="s">
        <v>898</v>
      </c>
      <c r="R207" s="4" t="s">
        <v>30</v>
      </c>
      <c r="S207" s="5" t="n">
        <v>52992</v>
      </c>
      <c r="T207" s="2"/>
    </row>
    <row r="208" customFormat="false" ht="15" hidden="false" customHeight="false" outlineLevel="0" collapsed="false">
      <c r="A208" s="2" t="s">
        <v>899</v>
      </c>
      <c r="B208" s="3" t="n">
        <v>45921</v>
      </c>
      <c r="C208" s="3" t="n">
        <v>45921</v>
      </c>
      <c r="D208" s="2" t="s">
        <v>21</v>
      </c>
      <c r="E208" s="4" t="s">
        <v>52</v>
      </c>
      <c r="F208" s="5" t="n">
        <v>472000</v>
      </c>
      <c r="G208" s="6" t="n">
        <f aca="false">G207+IF(E208="Credit",F208,IF(E208="Debit",-F208,0))</f>
        <v>5025980</v>
      </c>
      <c r="H208" s="4" t="s">
        <v>348</v>
      </c>
      <c r="I208" s="2" t="s">
        <v>900</v>
      </c>
      <c r="J208" s="2" t="s">
        <v>901</v>
      </c>
      <c r="K208" s="4" t="s">
        <v>447</v>
      </c>
      <c r="L208" s="2" t="s">
        <v>448</v>
      </c>
      <c r="M208" s="4" t="s">
        <v>58</v>
      </c>
      <c r="N208" s="2" t="s">
        <v>902</v>
      </c>
      <c r="O208" s="2" t="s">
        <v>60</v>
      </c>
      <c r="P208" s="2" t="s">
        <v>204</v>
      </c>
      <c r="Q208" s="2" t="s">
        <v>903</v>
      </c>
      <c r="R208" s="4" t="s">
        <v>30</v>
      </c>
      <c r="S208" s="5" t="n">
        <v>72000</v>
      </c>
      <c r="T208" s="2"/>
    </row>
    <row r="209" customFormat="false" ht="15" hidden="false" customHeight="false" outlineLevel="0" collapsed="false">
      <c r="A209" s="2" t="s">
        <v>904</v>
      </c>
      <c r="B209" s="3" t="n">
        <v>45922</v>
      </c>
      <c r="C209" s="3" t="n">
        <v>45922</v>
      </c>
      <c r="D209" s="2" t="s">
        <v>21</v>
      </c>
      <c r="E209" s="4" t="s">
        <v>33</v>
      </c>
      <c r="F209" s="5" t="n">
        <v>28500</v>
      </c>
      <c r="G209" s="6" t="n">
        <f aca="false">G208+IF(E209="Credit",F209,IF(E209="Debit",-F209,0))</f>
        <v>4997480</v>
      </c>
      <c r="H209" s="4" t="s">
        <v>99</v>
      </c>
      <c r="I209" s="2" t="s">
        <v>905</v>
      </c>
      <c r="J209" s="2" t="s">
        <v>906</v>
      </c>
      <c r="K209" s="4" t="s">
        <v>907</v>
      </c>
      <c r="L209" s="2" t="s">
        <v>908</v>
      </c>
      <c r="M209" s="4" t="s">
        <v>167</v>
      </c>
      <c r="N209" s="2" t="s">
        <v>909</v>
      </c>
      <c r="O209" s="2" t="s">
        <v>910</v>
      </c>
      <c r="P209" s="2" t="s">
        <v>911</v>
      </c>
      <c r="Q209" s="2"/>
      <c r="R209" s="4" t="s">
        <v>30</v>
      </c>
      <c r="S209" s="5" t="n">
        <v>0</v>
      </c>
      <c r="T209" s="2"/>
    </row>
    <row r="210" customFormat="false" ht="15" hidden="false" customHeight="false" outlineLevel="0" collapsed="false">
      <c r="A210" s="2" t="s">
        <v>912</v>
      </c>
      <c r="B210" s="3" t="n">
        <v>45924</v>
      </c>
      <c r="C210" s="3" t="n">
        <v>45924</v>
      </c>
      <c r="D210" s="2" t="s">
        <v>21</v>
      </c>
      <c r="E210" s="4" t="s">
        <v>52</v>
      </c>
      <c r="F210" s="5" t="n">
        <v>195066</v>
      </c>
      <c r="G210" s="6" t="n">
        <f aca="false">G209+IF(E210="Credit",F210,IF(E210="Debit",-F210,0))</f>
        <v>5192546</v>
      </c>
      <c r="H210" s="4" t="s">
        <v>99</v>
      </c>
      <c r="I210" s="2" t="s">
        <v>913</v>
      </c>
      <c r="J210" s="2" t="s">
        <v>914</v>
      </c>
      <c r="K210" s="4" t="s">
        <v>519</v>
      </c>
      <c r="L210" s="2" t="s">
        <v>520</v>
      </c>
      <c r="M210" s="4" t="s">
        <v>58</v>
      </c>
      <c r="N210" s="2" t="s">
        <v>915</v>
      </c>
      <c r="O210" s="2" t="s">
        <v>60</v>
      </c>
      <c r="P210" s="2" t="s">
        <v>354</v>
      </c>
      <c r="Q210" s="2" t="s">
        <v>875</v>
      </c>
      <c r="R210" s="4" t="s">
        <v>30</v>
      </c>
      <c r="S210" s="5" t="n">
        <v>20900</v>
      </c>
      <c r="T210" s="2" t="s">
        <v>916</v>
      </c>
    </row>
    <row r="211" customFormat="false" ht="15" hidden="false" customHeight="false" outlineLevel="0" collapsed="false">
      <c r="A211" s="2" t="s">
        <v>917</v>
      </c>
      <c r="B211" s="3" t="n">
        <v>45924</v>
      </c>
      <c r="C211" s="3" t="n">
        <v>45924</v>
      </c>
      <c r="D211" s="2" t="s">
        <v>21</v>
      </c>
      <c r="E211" s="4" t="s">
        <v>33</v>
      </c>
      <c r="F211" s="5" t="n">
        <v>35500</v>
      </c>
      <c r="G211" s="6" t="n">
        <f aca="false">G210+IF(E211="Credit",F211,IF(E211="Debit",-F211,0))</f>
        <v>5157046</v>
      </c>
      <c r="H211" s="4" t="s">
        <v>99</v>
      </c>
      <c r="I211" s="2" t="s">
        <v>905</v>
      </c>
      <c r="J211" s="2" t="s">
        <v>906</v>
      </c>
      <c r="K211" s="4" t="s">
        <v>907</v>
      </c>
      <c r="L211" s="2" t="s">
        <v>908</v>
      </c>
      <c r="M211" s="4" t="s">
        <v>167</v>
      </c>
      <c r="N211" s="2" t="s">
        <v>918</v>
      </c>
      <c r="O211" s="2" t="s">
        <v>910</v>
      </c>
      <c r="P211" s="2" t="s">
        <v>911</v>
      </c>
      <c r="Q211" s="2"/>
      <c r="R211" s="4" t="s">
        <v>30</v>
      </c>
      <c r="S211" s="5" t="n">
        <v>0</v>
      </c>
      <c r="T211" s="2"/>
    </row>
    <row r="212" customFormat="false" ht="15" hidden="false" customHeight="false" outlineLevel="0" collapsed="false">
      <c r="A212" s="2" t="s">
        <v>919</v>
      </c>
      <c r="B212" s="3" t="n">
        <v>45927</v>
      </c>
      <c r="C212" s="3" t="n">
        <v>45927</v>
      </c>
      <c r="D212" s="2" t="s">
        <v>21</v>
      </c>
      <c r="E212" s="4" t="s">
        <v>33</v>
      </c>
      <c r="F212" s="5" t="n">
        <v>36500</v>
      </c>
      <c r="G212" s="6" t="n">
        <f aca="false">G211+IF(E212="Credit",F212,IF(E212="Debit",-F212,0))</f>
        <v>5120546</v>
      </c>
      <c r="H212" s="4" t="s">
        <v>74</v>
      </c>
      <c r="I212" s="2" t="s">
        <v>920</v>
      </c>
      <c r="J212" s="2" t="s">
        <v>920</v>
      </c>
      <c r="K212" s="4" t="s">
        <v>165</v>
      </c>
      <c r="L212" s="2" t="s">
        <v>166</v>
      </c>
      <c r="M212" s="4" t="s">
        <v>167</v>
      </c>
      <c r="N212" s="2" t="s">
        <v>921</v>
      </c>
      <c r="O212" s="2" t="s">
        <v>169</v>
      </c>
      <c r="P212" s="2" t="s">
        <v>170</v>
      </c>
      <c r="Q212" s="2"/>
      <c r="R212" s="4" t="s">
        <v>30</v>
      </c>
      <c r="S212" s="5" t="n">
        <v>0</v>
      </c>
      <c r="T212" s="2"/>
    </row>
    <row r="213" customFormat="false" ht="15" hidden="false" customHeight="false" outlineLevel="0" collapsed="false">
      <c r="A213" s="2" t="s">
        <v>922</v>
      </c>
      <c r="B213" s="3" t="n">
        <v>45930</v>
      </c>
      <c r="C213" s="3" t="n">
        <v>45932</v>
      </c>
      <c r="D213" s="2" t="s">
        <v>21</v>
      </c>
      <c r="E213" s="4" t="s">
        <v>33</v>
      </c>
      <c r="F213" s="5" t="n">
        <v>15360</v>
      </c>
      <c r="G213" s="6" t="n">
        <f aca="false">G212+IF(E213="Credit",F213,IF(E213="Debit",-F213,0))</f>
        <v>5105186</v>
      </c>
      <c r="H213" s="4" t="s">
        <v>348</v>
      </c>
      <c r="I213" s="2" t="s">
        <v>923</v>
      </c>
      <c r="J213" s="2" t="s">
        <v>924</v>
      </c>
      <c r="K213" s="4" t="s">
        <v>157</v>
      </c>
      <c r="L213" s="2" t="s">
        <v>158</v>
      </c>
      <c r="M213" s="4" t="s">
        <v>38</v>
      </c>
      <c r="N213" s="2" t="s">
        <v>925</v>
      </c>
      <c r="O213" s="2" t="s">
        <v>160</v>
      </c>
      <c r="P213" s="2" t="s">
        <v>161</v>
      </c>
      <c r="Q213" s="2" t="s">
        <v>926</v>
      </c>
      <c r="R213" s="4" t="s">
        <v>30</v>
      </c>
      <c r="S213" s="5" t="n">
        <v>3360</v>
      </c>
      <c r="T213" s="2"/>
    </row>
    <row r="214" customFormat="false" ht="15" hidden="false" customHeight="false" outlineLevel="0" collapsed="false">
      <c r="A214" s="2" t="s">
        <v>927</v>
      </c>
      <c r="B214" s="3" t="n">
        <v>45933</v>
      </c>
      <c r="C214" s="3" t="n">
        <v>45933</v>
      </c>
      <c r="D214" s="2" t="s">
        <v>21</v>
      </c>
      <c r="E214" s="4" t="s">
        <v>52</v>
      </c>
      <c r="F214" s="5" t="n">
        <v>203157</v>
      </c>
      <c r="G214" s="6" t="n">
        <f aca="false">G213+IF(E214="Credit",F214,IF(E214="Debit",-F214,0))</f>
        <v>5308343</v>
      </c>
      <c r="H214" s="4" t="s">
        <v>74</v>
      </c>
      <c r="I214" s="2" t="s">
        <v>487</v>
      </c>
      <c r="J214" s="2" t="s">
        <v>928</v>
      </c>
      <c r="K214" s="4" t="s">
        <v>474</v>
      </c>
      <c r="L214" s="2" t="s">
        <v>475</v>
      </c>
      <c r="M214" s="4" t="s">
        <v>58</v>
      </c>
      <c r="N214" s="2" t="s">
        <v>929</v>
      </c>
      <c r="O214" s="2" t="s">
        <v>60</v>
      </c>
      <c r="P214" s="2" t="s">
        <v>536</v>
      </c>
      <c r="Q214" s="2" t="s">
        <v>930</v>
      </c>
      <c r="R214" s="4" t="s">
        <v>30</v>
      </c>
      <c r="S214" s="5" t="n">
        <v>21767</v>
      </c>
      <c r="T214" s="2" t="s">
        <v>413</v>
      </c>
    </row>
    <row r="215" customFormat="false" ht="15" hidden="false" customHeight="false" outlineLevel="0" collapsed="false">
      <c r="A215" s="2" t="s">
        <v>931</v>
      </c>
      <c r="B215" s="3" t="n">
        <v>45933</v>
      </c>
      <c r="C215" s="3" t="n">
        <v>45933</v>
      </c>
      <c r="D215" s="2" t="s">
        <v>21</v>
      </c>
      <c r="E215" s="4" t="s">
        <v>52</v>
      </c>
      <c r="F215" s="5" t="n">
        <v>148500</v>
      </c>
      <c r="G215" s="6" t="n">
        <f aca="false">G214+IF(E215="Credit",F215,IF(E215="Debit",-F215,0))</f>
        <v>5456843</v>
      </c>
      <c r="H215" s="4" t="s">
        <v>685</v>
      </c>
      <c r="I215" s="2" t="s">
        <v>932</v>
      </c>
      <c r="J215" s="2" t="s">
        <v>933</v>
      </c>
      <c r="K215" s="4" t="s">
        <v>474</v>
      </c>
      <c r="L215" s="2" t="s">
        <v>475</v>
      </c>
      <c r="M215" s="4" t="s">
        <v>58</v>
      </c>
      <c r="N215" s="2" t="s">
        <v>934</v>
      </c>
      <c r="O215" s="2" t="s">
        <v>60</v>
      </c>
      <c r="P215" s="2" t="s">
        <v>935</v>
      </c>
      <c r="Q215" s="2" t="s">
        <v>936</v>
      </c>
      <c r="R215" s="4" t="s">
        <v>30</v>
      </c>
      <c r="S215" s="5" t="n">
        <v>22653</v>
      </c>
      <c r="T215" s="2" t="s">
        <v>407</v>
      </c>
    </row>
    <row r="216" customFormat="false" ht="15" hidden="false" customHeight="false" outlineLevel="0" collapsed="false">
      <c r="A216" s="2" t="s">
        <v>937</v>
      </c>
      <c r="B216" s="3" t="n">
        <v>45933</v>
      </c>
      <c r="C216" s="3" t="n">
        <v>45933</v>
      </c>
      <c r="D216" s="2" t="s">
        <v>21</v>
      </c>
      <c r="E216" s="4" t="s">
        <v>33</v>
      </c>
      <c r="F216" s="5" t="n">
        <v>100700</v>
      </c>
      <c r="G216" s="6" t="n">
        <f aca="false">G215+IF(E216="Credit",F216,IF(E216="Debit",-F216,0))</f>
        <v>5356143</v>
      </c>
      <c r="H216" s="4" t="s">
        <v>43</v>
      </c>
      <c r="I216" s="2" t="s">
        <v>44</v>
      </c>
      <c r="J216" s="2" t="s">
        <v>938</v>
      </c>
      <c r="K216" s="4" t="s">
        <v>46</v>
      </c>
      <c r="L216" s="2" t="s">
        <v>47</v>
      </c>
      <c r="M216" s="4" t="s">
        <v>38</v>
      </c>
      <c r="N216" s="2" t="s">
        <v>939</v>
      </c>
      <c r="O216" s="2" t="s">
        <v>49</v>
      </c>
      <c r="P216" s="2" t="s">
        <v>50</v>
      </c>
      <c r="Q216" s="2"/>
      <c r="R216" s="4" t="s">
        <v>30</v>
      </c>
      <c r="S216" s="5" t="n">
        <v>0</v>
      </c>
      <c r="T216" s="2"/>
    </row>
    <row r="217" customFormat="false" ht="15" hidden="false" customHeight="false" outlineLevel="0" collapsed="false">
      <c r="A217" s="2" t="s">
        <v>940</v>
      </c>
      <c r="B217" s="3" t="n">
        <v>45934</v>
      </c>
      <c r="C217" s="3" t="n">
        <v>45934</v>
      </c>
      <c r="D217" s="2" t="s">
        <v>21</v>
      </c>
      <c r="E217" s="4" t="s">
        <v>33</v>
      </c>
      <c r="F217" s="5" t="n">
        <v>10700</v>
      </c>
      <c r="G217" s="6" t="n">
        <f aca="false">G216+IF(E217="Credit",F217,IF(E217="Debit",-F217,0))</f>
        <v>5345443</v>
      </c>
      <c r="H217" s="4" t="s">
        <v>115</v>
      </c>
      <c r="I217" s="2" t="s">
        <v>742</v>
      </c>
      <c r="J217" s="2" t="s">
        <v>743</v>
      </c>
      <c r="K217" s="4" t="s">
        <v>376</v>
      </c>
      <c r="L217" s="2" t="s">
        <v>377</v>
      </c>
      <c r="M217" s="4" t="s">
        <v>38</v>
      </c>
      <c r="N217" s="2" t="s">
        <v>941</v>
      </c>
      <c r="O217" s="2" t="s">
        <v>129</v>
      </c>
      <c r="P217" s="2" t="s">
        <v>130</v>
      </c>
      <c r="Q217" s="2"/>
      <c r="R217" s="4" t="s">
        <v>30</v>
      </c>
      <c r="S217" s="5" t="n">
        <v>0</v>
      </c>
      <c r="T217" s="2"/>
    </row>
    <row r="218" customFormat="false" ht="15" hidden="false" customHeight="false" outlineLevel="0" collapsed="false">
      <c r="A218" s="2" t="s">
        <v>942</v>
      </c>
      <c r="B218" s="3" t="n">
        <v>45934</v>
      </c>
      <c r="C218" s="3" t="n">
        <v>45934</v>
      </c>
      <c r="D218" s="2" t="s">
        <v>21</v>
      </c>
      <c r="E218" s="4" t="s">
        <v>33</v>
      </c>
      <c r="F218" s="5" t="n">
        <v>29100</v>
      </c>
      <c r="G218" s="6" t="n">
        <f aca="false">G217+IF(E218="Credit",F218,IF(E218="Debit",-F218,0))</f>
        <v>5316343</v>
      </c>
      <c r="H218" s="4" t="s">
        <v>34</v>
      </c>
      <c r="I218" s="2" t="s">
        <v>124</v>
      </c>
      <c r="J218" s="2" t="s">
        <v>125</v>
      </c>
      <c r="K218" s="4" t="s">
        <v>376</v>
      </c>
      <c r="L218" s="2" t="s">
        <v>377</v>
      </c>
      <c r="M218" s="4" t="s">
        <v>38</v>
      </c>
      <c r="N218" s="2" t="s">
        <v>943</v>
      </c>
      <c r="O218" s="2" t="s">
        <v>129</v>
      </c>
      <c r="P218" s="2" t="s">
        <v>130</v>
      </c>
      <c r="Q218" s="2"/>
      <c r="R218" s="4" t="s">
        <v>30</v>
      </c>
      <c r="S218" s="5" t="n">
        <v>0</v>
      </c>
      <c r="T218" s="2"/>
    </row>
    <row r="219" customFormat="false" ht="15" hidden="false" customHeight="false" outlineLevel="0" collapsed="false">
      <c r="A219" s="2" t="s">
        <v>944</v>
      </c>
      <c r="B219" s="3" t="n">
        <v>45935</v>
      </c>
      <c r="C219" s="3" t="n">
        <v>45935</v>
      </c>
      <c r="D219" s="2" t="s">
        <v>21</v>
      </c>
      <c r="E219" s="4" t="s">
        <v>52</v>
      </c>
      <c r="F219" s="5" t="n">
        <v>93416</v>
      </c>
      <c r="G219" s="6" t="n">
        <f aca="false">G218+IF(E219="Credit",F219,IF(E219="Debit",-F219,0))</f>
        <v>5409759</v>
      </c>
      <c r="H219" s="4" t="s">
        <v>99</v>
      </c>
      <c r="I219" s="2" t="s">
        <v>945</v>
      </c>
      <c r="J219" s="2" t="s">
        <v>946</v>
      </c>
      <c r="K219" s="4" t="s">
        <v>947</v>
      </c>
      <c r="L219" s="2" t="s">
        <v>948</v>
      </c>
      <c r="M219" s="4" t="s">
        <v>58</v>
      </c>
      <c r="N219" s="2" t="s">
        <v>949</v>
      </c>
      <c r="O219" s="2" t="s">
        <v>60</v>
      </c>
      <c r="P219" s="2" t="s">
        <v>897</v>
      </c>
      <c r="Q219" s="2" t="s">
        <v>950</v>
      </c>
      <c r="R219" s="4" t="s">
        <v>30</v>
      </c>
      <c r="S219" s="5" t="n">
        <v>14250</v>
      </c>
      <c r="T219" s="2" t="s">
        <v>951</v>
      </c>
    </row>
    <row r="220" customFormat="false" ht="15" hidden="false" customHeight="false" outlineLevel="0" collapsed="false">
      <c r="A220" s="2" t="s">
        <v>952</v>
      </c>
      <c r="B220" s="3" t="n">
        <v>45935</v>
      </c>
      <c r="C220" s="3" t="n">
        <v>45935</v>
      </c>
      <c r="D220" s="2" t="s">
        <v>21</v>
      </c>
      <c r="E220" s="4" t="s">
        <v>33</v>
      </c>
      <c r="F220" s="5" t="n">
        <v>145000</v>
      </c>
      <c r="G220" s="6" t="n">
        <f aca="false">G219+IF(E220="Credit",F220,IF(E220="Debit",-F220,0))</f>
        <v>5264759</v>
      </c>
      <c r="H220" s="4" t="s">
        <v>64</v>
      </c>
      <c r="I220" s="2" t="s">
        <v>65</v>
      </c>
      <c r="J220" s="2" t="s">
        <v>953</v>
      </c>
      <c r="K220" s="4" t="s">
        <v>67</v>
      </c>
      <c r="L220" s="2" t="s">
        <v>68</v>
      </c>
      <c r="M220" s="4" t="s">
        <v>69</v>
      </c>
      <c r="N220" s="2" t="s">
        <v>954</v>
      </c>
      <c r="O220" s="2" t="s">
        <v>71</v>
      </c>
      <c r="P220" s="2" t="s">
        <v>72</v>
      </c>
      <c r="Q220" s="2"/>
      <c r="R220" s="4" t="s">
        <v>30</v>
      </c>
      <c r="S220" s="5" t="n">
        <v>0</v>
      </c>
      <c r="T220" s="2"/>
    </row>
    <row r="221" customFormat="false" ht="15" hidden="false" customHeight="false" outlineLevel="0" collapsed="false">
      <c r="A221" s="2" t="s">
        <v>955</v>
      </c>
      <c r="B221" s="3" t="n">
        <v>45936</v>
      </c>
      <c r="C221" s="3" t="n">
        <v>45936</v>
      </c>
      <c r="D221" s="2" t="s">
        <v>21</v>
      </c>
      <c r="E221" s="4" t="s">
        <v>33</v>
      </c>
      <c r="F221" s="5" t="n">
        <v>6300</v>
      </c>
      <c r="G221" s="6" t="n">
        <f aca="false">G220+IF(E221="Credit",F221,IF(E221="Debit",-F221,0))</f>
        <v>5258459</v>
      </c>
      <c r="H221" s="4" t="s">
        <v>74</v>
      </c>
      <c r="I221" s="2" t="s">
        <v>673</v>
      </c>
      <c r="J221" s="2" t="s">
        <v>673</v>
      </c>
      <c r="K221" s="4" t="s">
        <v>36</v>
      </c>
      <c r="L221" s="2" t="s">
        <v>37</v>
      </c>
      <c r="M221" s="4" t="s">
        <v>38</v>
      </c>
      <c r="N221" s="2" t="s">
        <v>956</v>
      </c>
      <c r="O221" s="2" t="s">
        <v>40</v>
      </c>
      <c r="P221" s="2" t="s">
        <v>41</v>
      </c>
      <c r="Q221" s="2"/>
      <c r="R221" s="4" t="s">
        <v>30</v>
      </c>
      <c r="S221" s="5" t="n">
        <v>0</v>
      </c>
      <c r="T221" s="2"/>
    </row>
    <row r="222" customFormat="false" ht="15" hidden="false" customHeight="false" outlineLevel="0" collapsed="false">
      <c r="A222" s="2" t="s">
        <v>957</v>
      </c>
      <c r="B222" s="3" t="n">
        <v>45937</v>
      </c>
      <c r="C222" s="3" t="n">
        <v>45937</v>
      </c>
      <c r="D222" s="2" t="s">
        <v>21</v>
      </c>
      <c r="E222" s="4" t="s">
        <v>52</v>
      </c>
      <c r="F222" s="5" t="n">
        <v>179200</v>
      </c>
      <c r="G222" s="6" t="n">
        <f aca="false">G221+IF(E222="Credit",F222,IF(E222="Debit",-F222,0))</f>
        <v>5437659</v>
      </c>
      <c r="H222" s="4" t="s">
        <v>685</v>
      </c>
      <c r="I222" s="2" t="s">
        <v>958</v>
      </c>
      <c r="J222" s="2" t="s">
        <v>959</v>
      </c>
      <c r="K222" s="4" t="s">
        <v>960</v>
      </c>
      <c r="L222" s="2" t="s">
        <v>961</v>
      </c>
      <c r="M222" s="4" t="s">
        <v>58</v>
      </c>
      <c r="N222" s="2" t="s">
        <v>962</v>
      </c>
      <c r="O222" s="2" t="s">
        <v>60</v>
      </c>
      <c r="P222" s="2" t="s">
        <v>897</v>
      </c>
      <c r="Q222" s="2" t="s">
        <v>963</v>
      </c>
      <c r="R222" s="4" t="s">
        <v>30</v>
      </c>
      <c r="S222" s="5" t="n">
        <v>19200</v>
      </c>
      <c r="T222" s="2"/>
    </row>
    <row r="223" customFormat="false" ht="15" hidden="false" customHeight="false" outlineLevel="0" collapsed="false">
      <c r="A223" s="2" t="s">
        <v>964</v>
      </c>
      <c r="B223" s="3" t="n">
        <v>45937</v>
      </c>
      <c r="C223" s="3" t="n">
        <v>45937</v>
      </c>
      <c r="D223" s="2" t="s">
        <v>21</v>
      </c>
      <c r="E223" s="4" t="s">
        <v>52</v>
      </c>
      <c r="F223" s="5" t="n">
        <v>245420</v>
      </c>
      <c r="G223" s="6" t="n">
        <f aca="false">G222+IF(E223="Credit",F223,IF(E223="Debit",-F223,0))</f>
        <v>5683079</v>
      </c>
      <c r="H223" s="4" t="s">
        <v>99</v>
      </c>
      <c r="I223" s="2" t="s">
        <v>892</v>
      </c>
      <c r="J223" s="2" t="s">
        <v>965</v>
      </c>
      <c r="K223" s="4" t="s">
        <v>894</v>
      </c>
      <c r="L223" s="2" t="s">
        <v>895</v>
      </c>
      <c r="M223" s="4" t="s">
        <v>58</v>
      </c>
      <c r="N223" s="2" t="s">
        <v>966</v>
      </c>
      <c r="O223" s="2" t="s">
        <v>60</v>
      </c>
      <c r="P223" s="2" t="s">
        <v>967</v>
      </c>
      <c r="Q223" s="2" t="s">
        <v>968</v>
      </c>
      <c r="R223" s="4" t="s">
        <v>30</v>
      </c>
      <c r="S223" s="5" t="n">
        <v>34920</v>
      </c>
      <c r="T223" s="2" t="s">
        <v>969</v>
      </c>
    </row>
    <row r="224" customFormat="false" ht="15" hidden="false" customHeight="false" outlineLevel="0" collapsed="false">
      <c r="A224" s="2" t="s">
        <v>970</v>
      </c>
      <c r="B224" s="3" t="n">
        <v>45937</v>
      </c>
      <c r="C224" s="3" t="n">
        <v>45937</v>
      </c>
      <c r="D224" s="2" t="s">
        <v>21</v>
      </c>
      <c r="E224" s="4" t="s">
        <v>33</v>
      </c>
      <c r="F224" s="5" t="n">
        <v>12000</v>
      </c>
      <c r="G224" s="6" t="n">
        <f aca="false">G223+IF(E224="Credit",F224,IF(E224="Debit",-F224,0))</f>
        <v>5671079</v>
      </c>
      <c r="H224" s="4" t="s">
        <v>64</v>
      </c>
      <c r="I224" s="2" t="s">
        <v>83</v>
      </c>
      <c r="J224" s="2" t="s">
        <v>971</v>
      </c>
      <c r="K224" s="4" t="s">
        <v>85</v>
      </c>
      <c r="L224" s="2" t="s">
        <v>86</v>
      </c>
      <c r="M224" s="4" t="s">
        <v>38</v>
      </c>
      <c r="N224" s="2" t="s">
        <v>972</v>
      </c>
      <c r="O224" s="2" t="s">
        <v>88</v>
      </c>
      <c r="P224" s="2" t="s">
        <v>89</v>
      </c>
      <c r="Q224" s="2"/>
      <c r="R224" s="4" t="s">
        <v>30</v>
      </c>
      <c r="S224" s="5" t="n">
        <v>0</v>
      </c>
      <c r="T224" s="2"/>
    </row>
    <row r="225" customFormat="false" ht="15" hidden="false" customHeight="false" outlineLevel="0" collapsed="false">
      <c r="A225" s="2" t="s">
        <v>973</v>
      </c>
      <c r="B225" s="3" t="n">
        <v>45938</v>
      </c>
      <c r="C225" s="3" t="n">
        <v>45938</v>
      </c>
      <c r="D225" s="2" t="s">
        <v>21</v>
      </c>
      <c r="E225" s="4" t="s">
        <v>52</v>
      </c>
      <c r="F225" s="5" t="n">
        <v>242100</v>
      </c>
      <c r="G225" s="6" t="n">
        <f aca="false">G224+IF(E225="Credit",F225,IF(E225="Debit",-F225,0))</f>
        <v>5913179</v>
      </c>
      <c r="H225" s="4" t="s">
        <v>99</v>
      </c>
      <c r="I225" s="2" t="s">
        <v>974</v>
      </c>
      <c r="J225" s="2" t="s">
        <v>975</v>
      </c>
      <c r="K225" s="4" t="s">
        <v>756</v>
      </c>
      <c r="L225" s="2" t="s">
        <v>757</v>
      </c>
      <c r="M225" s="4" t="s">
        <v>58</v>
      </c>
      <c r="N225" s="2" t="s">
        <v>976</v>
      </c>
      <c r="O225" s="2" t="s">
        <v>60</v>
      </c>
      <c r="P225" s="2" t="s">
        <v>204</v>
      </c>
      <c r="Q225" s="2" t="s">
        <v>977</v>
      </c>
      <c r="R225" s="4" t="s">
        <v>30</v>
      </c>
      <c r="S225" s="5" t="n">
        <v>25939</v>
      </c>
      <c r="T225" s="2" t="s">
        <v>407</v>
      </c>
    </row>
    <row r="226" customFormat="false" ht="15" hidden="false" customHeight="false" outlineLevel="0" collapsed="false">
      <c r="A226" s="2" t="s">
        <v>978</v>
      </c>
      <c r="B226" s="3" t="n">
        <v>45940</v>
      </c>
      <c r="C226" s="3" t="n">
        <v>45940</v>
      </c>
      <c r="D226" s="2" t="s">
        <v>21</v>
      </c>
      <c r="E226" s="4" t="s">
        <v>52</v>
      </c>
      <c r="F226" s="5" t="n">
        <v>93418</v>
      </c>
      <c r="G226" s="6" t="n">
        <f aca="false">G225+IF(E226="Credit",F226,IF(E226="Debit",-F226,0))</f>
        <v>6006597</v>
      </c>
      <c r="H226" s="4" t="s">
        <v>74</v>
      </c>
      <c r="I226" s="2" t="s">
        <v>979</v>
      </c>
      <c r="J226" s="2" t="s">
        <v>980</v>
      </c>
      <c r="K226" s="4" t="s">
        <v>947</v>
      </c>
      <c r="L226" s="2" t="s">
        <v>948</v>
      </c>
      <c r="M226" s="4" t="s">
        <v>58</v>
      </c>
      <c r="N226" s="2" t="s">
        <v>981</v>
      </c>
      <c r="O226" s="2" t="s">
        <v>60</v>
      </c>
      <c r="P226" s="2" t="s">
        <v>897</v>
      </c>
      <c r="Q226" s="2" t="s">
        <v>950</v>
      </c>
      <c r="R226" s="4" t="s">
        <v>30</v>
      </c>
      <c r="S226" s="5" t="n">
        <v>14250</v>
      </c>
      <c r="T226" s="2" t="s">
        <v>982</v>
      </c>
    </row>
    <row r="227" customFormat="false" ht="15" hidden="false" customHeight="false" outlineLevel="0" collapsed="false">
      <c r="A227" s="2" t="s">
        <v>983</v>
      </c>
      <c r="B227" s="3" t="n">
        <v>45940</v>
      </c>
      <c r="C227" s="3" t="n">
        <v>45940</v>
      </c>
      <c r="D227" s="2" t="s">
        <v>21</v>
      </c>
      <c r="E227" s="4" t="s">
        <v>33</v>
      </c>
      <c r="F227" s="5" t="n">
        <v>77600</v>
      </c>
      <c r="G227" s="6" t="n">
        <f aca="false">G226+IF(E227="Credit",F227,IF(E227="Debit",-F227,0))</f>
        <v>5928997</v>
      </c>
      <c r="H227" s="4" t="s">
        <v>115</v>
      </c>
      <c r="I227" s="2" t="s">
        <v>116</v>
      </c>
      <c r="J227" s="2" t="s">
        <v>984</v>
      </c>
      <c r="K227" s="4" t="s">
        <v>118</v>
      </c>
      <c r="L227" s="2" t="s">
        <v>119</v>
      </c>
      <c r="M227" s="4" t="s">
        <v>38</v>
      </c>
      <c r="N227" s="2" t="s">
        <v>985</v>
      </c>
      <c r="O227" s="2" t="s">
        <v>121</v>
      </c>
      <c r="P227" s="2" t="s">
        <v>122</v>
      </c>
      <c r="Q227" s="2"/>
      <c r="R227" s="4" t="s">
        <v>30</v>
      </c>
      <c r="S227" s="5" t="n">
        <v>0</v>
      </c>
      <c r="T227" s="2"/>
    </row>
    <row r="228" customFormat="false" ht="15" hidden="false" customHeight="false" outlineLevel="0" collapsed="false">
      <c r="A228" s="2" t="s">
        <v>986</v>
      </c>
      <c r="B228" s="3" t="n">
        <v>45940</v>
      </c>
      <c r="C228" s="3" t="n">
        <v>45940</v>
      </c>
      <c r="D228" s="2" t="s">
        <v>21</v>
      </c>
      <c r="E228" s="4" t="s">
        <v>33</v>
      </c>
      <c r="F228" s="5" t="n">
        <v>2800</v>
      </c>
      <c r="G228" s="6" t="n">
        <f aca="false">G227+IF(E228="Credit",F228,IF(E228="Debit",-F228,0))</f>
        <v>5926197</v>
      </c>
      <c r="H228" s="4" t="s">
        <v>74</v>
      </c>
      <c r="I228" s="2" t="s">
        <v>615</v>
      </c>
      <c r="J228" s="2" t="s">
        <v>616</v>
      </c>
      <c r="K228" s="4" t="s">
        <v>376</v>
      </c>
      <c r="L228" s="2" t="s">
        <v>377</v>
      </c>
      <c r="M228" s="4" t="s">
        <v>38</v>
      </c>
      <c r="N228" s="2" t="s">
        <v>987</v>
      </c>
      <c r="O228" s="2" t="s">
        <v>129</v>
      </c>
      <c r="P228" s="2" t="s">
        <v>130</v>
      </c>
      <c r="Q228" s="2"/>
      <c r="R228" s="4" t="s">
        <v>30</v>
      </c>
      <c r="S228" s="5" t="n">
        <v>0</v>
      </c>
      <c r="T228" s="2"/>
    </row>
    <row r="229" customFormat="false" ht="15" hidden="false" customHeight="false" outlineLevel="0" collapsed="false">
      <c r="A229" s="2" t="s">
        <v>988</v>
      </c>
      <c r="B229" s="3" t="n">
        <v>45941</v>
      </c>
      <c r="C229" s="3" t="n">
        <v>45941</v>
      </c>
      <c r="D229" s="2" t="s">
        <v>21</v>
      </c>
      <c r="E229" s="4" t="s">
        <v>33</v>
      </c>
      <c r="F229" s="5" t="n">
        <v>31700</v>
      </c>
      <c r="G229" s="6" t="n">
        <f aca="false">G228+IF(E229="Credit",F229,IF(E229="Debit",-F229,0))</f>
        <v>5894497</v>
      </c>
      <c r="H229" s="4" t="s">
        <v>115</v>
      </c>
      <c r="I229" s="2" t="s">
        <v>561</v>
      </c>
      <c r="J229" s="2" t="s">
        <v>562</v>
      </c>
      <c r="K229" s="4" t="s">
        <v>126</v>
      </c>
      <c r="L229" s="2" t="s">
        <v>127</v>
      </c>
      <c r="M229" s="4" t="s">
        <v>38</v>
      </c>
      <c r="N229" s="2" t="s">
        <v>989</v>
      </c>
      <c r="O229" s="2" t="s">
        <v>129</v>
      </c>
      <c r="P229" s="2" t="s">
        <v>130</v>
      </c>
      <c r="Q229" s="2"/>
      <c r="R229" s="4" t="s">
        <v>30</v>
      </c>
      <c r="S229" s="5" t="n">
        <v>0</v>
      </c>
      <c r="T229" s="2"/>
    </row>
    <row r="230" customFormat="false" ht="15" hidden="false" customHeight="false" outlineLevel="0" collapsed="false">
      <c r="A230" s="2" t="s">
        <v>990</v>
      </c>
      <c r="B230" s="3" t="n">
        <v>45943</v>
      </c>
      <c r="C230" s="3" t="n">
        <v>45943</v>
      </c>
      <c r="D230" s="2" t="s">
        <v>21</v>
      </c>
      <c r="E230" s="4" t="s">
        <v>33</v>
      </c>
      <c r="F230" s="5" t="n">
        <v>255500</v>
      </c>
      <c r="G230" s="6" t="n">
        <f aca="false">G229+IF(E230="Credit",F230,IF(E230="Debit",-F230,0))</f>
        <v>5638997</v>
      </c>
      <c r="H230" s="4" t="s">
        <v>99</v>
      </c>
      <c r="I230" s="2" t="s">
        <v>991</v>
      </c>
      <c r="J230" s="2" t="s">
        <v>992</v>
      </c>
      <c r="K230" s="4" t="s">
        <v>993</v>
      </c>
      <c r="L230" s="2" t="s">
        <v>994</v>
      </c>
      <c r="M230" s="4" t="s">
        <v>38</v>
      </c>
      <c r="N230" s="2" t="s">
        <v>995</v>
      </c>
      <c r="O230" s="2" t="s">
        <v>160</v>
      </c>
      <c r="P230" s="2" t="s">
        <v>996</v>
      </c>
      <c r="Q230" s="2" t="s">
        <v>997</v>
      </c>
      <c r="R230" s="4" t="s">
        <v>30</v>
      </c>
      <c r="S230" s="5" t="n">
        <v>38975</v>
      </c>
      <c r="T230" s="2" t="s">
        <v>188</v>
      </c>
    </row>
    <row r="231" customFormat="false" ht="15" hidden="false" customHeight="false" outlineLevel="0" collapsed="false">
      <c r="A231" s="2" t="s">
        <v>998</v>
      </c>
      <c r="B231" s="3" t="n">
        <v>45944</v>
      </c>
      <c r="C231" s="3" t="n">
        <v>45944</v>
      </c>
      <c r="D231" s="2" t="s">
        <v>21</v>
      </c>
      <c r="E231" s="4" t="s">
        <v>33</v>
      </c>
      <c r="F231" s="5" t="n">
        <v>34900</v>
      </c>
      <c r="G231" s="6" t="n">
        <f aca="false">G230+IF(E231="Credit",F231,IF(E231="Debit",-F231,0))</f>
        <v>5604097</v>
      </c>
      <c r="H231" s="4" t="s">
        <v>99</v>
      </c>
      <c r="I231" s="2" t="s">
        <v>139</v>
      </c>
      <c r="J231" s="2" t="s">
        <v>999</v>
      </c>
      <c r="K231" s="4" t="s">
        <v>141</v>
      </c>
      <c r="L231" s="2" t="s">
        <v>142</v>
      </c>
      <c r="M231" s="4" t="s">
        <v>143</v>
      </c>
      <c r="N231" s="2" t="s">
        <v>1000</v>
      </c>
      <c r="O231" s="2" t="s">
        <v>145</v>
      </c>
      <c r="P231" s="2" t="s">
        <v>146</v>
      </c>
      <c r="Q231" s="2"/>
      <c r="R231" s="4" t="s">
        <v>30</v>
      </c>
      <c r="S231" s="5" t="n">
        <v>0</v>
      </c>
      <c r="T231" s="2"/>
    </row>
    <row r="232" customFormat="false" ht="15" hidden="false" customHeight="false" outlineLevel="0" collapsed="false">
      <c r="A232" s="2" t="s">
        <v>1001</v>
      </c>
      <c r="B232" s="3" t="n">
        <v>45945</v>
      </c>
      <c r="C232" s="3" t="n">
        <v>45945</v>
      </c>
      <c r="D232" s="2" t="s">
        <v>21</v>
      </c>
      <c r="E232" s="4" t="s">
        <v>52</v>
      </c>
      <c r="F232" s="5" t="n">
        <v>80122</v>
      </c>
      <c r="G232" s="6" t="n">
        <f aca="false">G231+IF(E232="Credit",F232,IF(E232="Debit",-F232,0))</f>
        <v>5684219</v>
      </c>
      <c r="H232" s="4" t="s">
        <v>180</v>
      </c>
      <c r="I232" s="2" t="s">
        <v>1002</v>
      </c>
      <c r="J232" s="2" t="s">
        <v>1003</v>
      </c>
      <c r="K232" s="4" t="s">
        <v>77</v>
      </c>
      <c r="L232" s="2" t="s">
        <v>78</v>
      </c>
      <c r="M232" s="4" t="s">
        <v>58</v>
      </c>
      <c r="N232" s="2" t="s">
        <v>1004</v>
      </c>
      <c r="O232" s="2" t="s">
        <v>60</v>
      </c>
      <c r="P232" s="2" t="s">
        <v>80</v>
      </c>
      <c r="Q232" s="2" t="s">
        <v>1005</v>
      </c>
      <c r="R232" s="4" t="s">
        <v>30</v>
      </c>
      <c r="S232" s="5" t="n">
        <v>12222</v>
      </c>
      <c r="T232" s="2" t="s">
        <v>413</v>
      </c>
    </row>
    <row r="233" customFormat="false" ht="15" hidden="false" customHeight="false" outlineLevel="0" collapsed="false">
      <c r="A233" s="2" t="s">
        <v>1006</v>
      </c>
      <c r="B233" s="3" t="n">
        <v>45945</v>
      </c>
      <c r="C233" s="3" t="n">
        <v>45945</v>
      </c>
      <c r="D233" s="2" t="s">
        <v>21</v>
      </c>
      <c r="E233" s="4" t="s">
        <v>33</v>
      </c>
      <c r="F233" s="5" t="n">
        <v>28410</v>
      </c>
      <c r="G233" s="6" t="n">
        <f aca="false">G232+IF(E233="Credit",F233,IF(E233="Debit",-F233,0))</f>
        <v>5655809</v>
      </c>
      <c r="H233" s="4" t="s">
        <v>64</v>
      </c>
      <c r="I233" s="2" t="s">
        <v>148</v>
      </c>
      <c r="J233" s="2" t="s">
        <v>1007</v>
      </c>
      <c r="K233" s="4" t="s">
        <v>150</v>
      </c>
      <c r="L233" s="2" t="s">
        <v>151</v>
      </c>
      <c r="M233" s="4" t="s">
        <v>38</v>
      </c>
      <c r="N233" s="2" t="s">
        <v>1008</v>
      </c>
      <c r="O233" s="2" t="s">
        <v>88</v>
      </c>
      <c r="P233" s="2" t="s">
        <v>153</v>
      </c>
      <c r="Q233" s="2"/>
      <c r="R233" s="4" t="s">
        <v>30</v>
      </c>
      <c r="S233" s="5" t="n">
        <v>0</v>
      </c>
      <c r="T233" s="2"/>
    </row>
    <row r="234" customFormat="false" ht="15" hidden="false" customHeight="false" outlineLevel="0" collapsed="false">
      <c r="A234" s="2" t="s">
        <v>1009</v>
      </c>
      <c r="B234" s="3" t="n">
        <v>45946</v>
      </c>
      <c r="C234" s="3" t="n">
        <v>45946</v>
      </c>
      <c r="D234" s="2" t="s">
        <v>21</v>
      </c>
      <c r="E234" s="4" t="s">
        <v>52</v>
      </c>
      <c r="F234" s="5" t="n">
        <v>145100</v>
      </c>
      <c r="G234" s="6" t="n">
        <f aca="false">G233+IF(E234="Credit",F234,IF(E234="Debit",-F234,0))</f>
        <v>5800909</v>
      </c>
      <c r="H234" s="4" t="s">
        <v>180</v>
      </c>
      <c r="I234" s="2" t="s">
        <v>1010</v>
      </c>
      <c r="J234" s="2" t="s">
        <v>1011</v>
      </c>
      <c r="K234" s="4" t="s">
        <v>447</v>
      </c>
      <c r="L234" s="2" t="s">
        <v>448</v>
      </c>
      <c r="M234" s="4" t="s">
        <v>58</v>
      </c>
      <c r="N234" s="2" t="s">
        <v>1012</v>
      </c>
      <c r="O234" s="2" t="s">
        <v>60</v>
      </c>
      <c r="P234" s="2" t="s">
        <v>204</v>
      </c>
      <c r="Q234" s="2" t="s">
        <v>1013</v>
      </c>
      <c r="R234" s="4" t="s">
        <v>30</v>
      </c>
      <c r="S234" s="5" t="n">
        <v>22134</v>
      </c>
      <c r="T234" s="2" t="s">
        <v>407</v>
      </c>
    </row>
    <row r="235" customFormat="false" ht="15" hidden="false" customHeight="false" outlineLevel="0" collapsed="false">
      <c r="A235" s="2" t="s">
        <v>1014</v>
      </c>
      <c r="B235" s="3" t="n">
        <v>45948</v>
      </c>
      <c r="C235" s="3" t="n">
        <v>45948</v>
      </c>
      <c r="D235" s="2" t="s">
        <v>21</v>
      </c>
      <c r="E235" s="4" t="s">
        <v>52</v>
      </c>
      <c r="F235" s="5" t="n">
        <v>93416</v>
      </c>
      <c r="G235" s="6" t="n">
        <f aca="false">G234+IF(E235="Credit",F235,IF(E235="Debit",-F235,0))</f>
        <v>5894325</v>
      </c>
      <c r="H235" s="4" t="s">
        <v>180</v>
      </c>
      <c r="I235" s="2" t="s">
        <v>1015</v>
      </c>
      <c r="J235" s="2" t="s">
        <v>1016</v>
      </c>
      <c r="K235" s="4" t="s">
        <v>947</v>
      </c>
      <c r="L235" s="2" t="s">
        <v>948</v>
      </c>
      <c r="M235" s="4" t="s">
        <v>58</v>
      </c>
      <c r="N235" s="2" t="s">
        <v>1017</v>
      </c>
      <c r="O235" s="2" t="s">
        <v>60</v>
      </c>
      <c r="P235" s="2" t="s">
        <v>897</v>
      </c>
      <c r="Q235" s="2" t="s">
        <v>950</v>
      </c>
      <c r="R235" s="4" t="s">
        <v>30</v>
      </c>
      <c r="S235" s="5" t="n">
        <v>14250</v>
      </c>
      <c r="T235" s="2" t="s">
        <v>1018</v>
      </c>
    </row>
    <row r="236" customFormat="false" ht="15" hidden="false" customHeight="false" outlineLevel="0" collapsed="false">
      <c r="A236" s="2" t="s">
        <v>1019</v>
      </c>
      <c r="B236" s="3" t="n">
        <v>45948</v>
      </c>
      <c r="C236" s="3" t="n">
        <v>45948</v>
      </c>
      <c r="D236" s="2" t="s">
        <v>21</v>
      </c>
      <c r="E236" s="4" t="s">
        <v>52</v>
      </c>
      <c r="F236" s="5" t="n">
        <v>53800</v>
      </c>
      <c r="G236" s="6" t="n">
        <f aca="false">G235+IF(E236="Credit",F236,IF(E236="Debit",-F236,0))</f>
        <v>5948125</v>
      </c>
      <c r="H236" s="4" t="s">
        <v>99</v>
      </c>
      <c r="I236" s="2" t="s">
        <v>315</v>
      </c>
      <c r="J236" s="2" t="s">
        <v>1020</v>
      </c>
      <c r="K236" s="4" t="s">
        <v>77</v>
      </c>
      <c r="L236" s="2" t="s">
        <v>78</v>
      </c>
      <c r="M236" s="4" t="s">
        <v>58</v>
      </c>
      <c r="N236" s="2" t="s">
        <v>1021</v>
      </c>
      <c r="O236" s="2" t="s">
        <v>60</v>
      </c>
      <c r="P236" s="2" t="s">
        <v>522</v>
      </c>
      <c r="Q236" s="2" t="s">
        <v>1022</v>
      </c>
      <c r="R236" s="4" t="s">
        <v>30</v>
      </c>
      <c r="S236" s="5" t="n">
        <v>8207</v>
      </c>
      <c r="T236" s="2" t="s">
        <v>407</v>
      </c>
    </row>
    <row r="237" customFormat="false" ht="15" hidden="false" customHeight="false" outlineLevel="0" collapsed="false">
      <c r="A237" s="2" t="s">
        <v>1023</v>
      </c>
      <c r="B237" s="3" t="n">
        <v>45950</v>
      </c>
      <c r="C237" s="3" t="n">
        <v>45950</v>
      </c>
      <c r="D237" s="2" t="s">
        <v>21</v>
      </c>
      <c r="E237" s="4" t="s">
        <v>33</v>
      </c>
      <c r="F237" s="5" t="n">
        <v>46400</v>
      </c>
      <c r="G237" s="6" t="n">
        <f aca="false">G236+IF(E237="Credit",F237,IF(E237="Debit",-F237,0))</f>
        <v>5901725</v>
      </c>
      <c r="H237" s="4" t="s">
        <v>99</v>
      </c>
      <c r="I237" s="2" t="s">
        <v>172</v>
      </c>
      <c r="J237" s="2" t="s">
        <v>1024</v>
      </c>
      <c r="K237" s="4" t="s">
        <v>174</v>
      </c>
      <c r="L237" s="2" t="s">
        <v>175</v>
      </c>
      <c r="M237" s="4" t="s">
        <v>143</v>
      </c>
      <c r="N237" s="2" t="s">
        <v>1025</v>
      </c>
      <c r="O237" s="2" t="s">
        <v>177</v>
      </c>
      <c r="P237" s="2" t="s">
        <v>178</v>
      </c>
      <c r="Q237" s="2"/>
      <c r="R237" s="4" t="s">
        <v>30</v>
      </c>
      <c r="S237" s="5" t="n">
        <v>0</v>
      </c>
      <c r="T237" s="2"/>
    </row>
    <row r="238" customFormat="false" ht="15" hidden="false" customHeight="false" outlineLevel="0" collapsed="false">
      <c r="A238" s="2" t="s">
        <v>1026</v>
      </c>
      <c r="B238" s="3" t="n">
        <v>45950</v>
      </c>
      <c r="C238" s="3" t="n">
        <v>45950</v>
      </c>
      <c r="D238" s="2" t="s">
        <v>21</v>
      </c>
      <c r="E238" s="4" t="s">
        <v>52</v>
      </c>
      <c r="F238" s="5" t="n">
        <v>64500</v>
      </c>
      <c r="G238" s="6" t="n">
        <f aca="false">G237+IF(E238="Credit",F238,IF(E238="Debit",-F238,0))</f>
        <v>5966225</v>
      </c>
      <c r="H238" s="4" t="s">
        <v>74</v>
      </c>
      <c r="I238" s="2" t="s">
        <v>1027</v>
      </c>
      <c r="J238" s="2" t="s">
        <v>55</v>
      </c>
      <c r="K238" s="4" t="s">
        <v>474</v>
      </c>
      <c r="L238" s="2" t="s">
        <v>475</v>
      </c>
      <c r="M238" s="4" t="s">
        <v>58</v>
      </c>
      <c r="N238" s="2" t="s">
        <v>1028</v>
      </c>
      <c r="O238" s="2" t="s">
        <v>60</v>
      </c>
      <c r="P238" s="2" t="s">
        <v>61</v>
      </c>
      <c r="Q238" s="2"/>
      <c r="R238" s="4" t="s">
        <v>30</v>
      </c>
      <c r="S238" s="5" t="n">
        <v>0</v>
      </c>
      <c r="T238" s="2" t="s">
        <v>62</v>
      </c>
    </row>
    <row r="239" customFormat="false" ht="15" hidden="false" customHeight="false" outlineLevel="0" collapsed="false">
      <c r="A239" s="2" t="s">
        <v>1029</v>
      </c>
      <c r="B239" s="3" t="n">
        <v>45953</v>
      </c>
      <c r="C239" s="3" t="n">
        <v>45953</v>
      </c>
      <c r="D239" s="2" t="s">
        <v>21</v>
      </c>
      <c r="E239" s="4" t="s">
        <v>52</v>
      </c>
      <c r="F239" s="5" t="n">
        <v>377600</v>
      </c>
      <c r="G239" s="6" t="n">
        <f aca="false">G238+IF(E239="Credit",F239,IF(E239="Debit",-F239,0))</f>
        <v>6343825</v>
      </c>
      <c r="H239" s="4" t="s">
        <v>74</v>
      </c>
      <c r="I239" s="2" t="s">
        <v>1030</v>
      </c>
      <c r="J239" s="2" t="s">
        <v>1031</v>
      </c>
      <c r="K239" s="4" t="s">
        <v>894</v>
      </c>
      <c r="L239" s="2" t="s">
        <v>895</v>
      </c>
      <c r="M239" s="4" t="s">
        <v>58</v>
      </c>
      <c r="N239" s="2" t="s">
        <v>1032</v>
      </c>
      <c r="O239" s="2" t="s">
        <v>60</v>
      </c>
      <c r="P239" s="2" t="s">
        <v>1033</v>
      </c>
      <c r="Q239" s="2" t="s">
        <v>1034</v>
      </c>
      <c r="R239" s="4" t="s">
        <v>30</v>
      </c>
      <c r="S239" s="5" t="n">
        <v>57600</v>
      </c>
      <c r="T239" s="2"/>
    </row>
    <row r="240" customFormat="false" ht="15" hidden="false" customHeight="false" outlineLevel="0" collapsed="false">
      <c r="A240" s="2" t="s">
        <v>1035</v>
      </c>
      <c r="B240" s="3" t="n">
        <v>45953</v>
      </c>
      <c r="C240" s="3" t="n">
        <v>45953</v>
      </c>
      <c r="D240" s="2" t="s">
        <v>21</v>
      </c>
      <c r="E240" s="4" t="s">
        <v>52</v>
      </c>
      <c r="F240" s="5" t="n">
        <v>456100</v>
      </c>
      <c r="G240" s="6" t="n">
        <f aca="false">G239+IF(E240="Credit",F240,IF(E240="Debit",-F240,0))</f>
        <v>6799925</v>
      </c>
      <c r="H240" s="4" t="s">
        <v>74</v>
      </c>
      <c r="I240" s="2" t="s">
        <v>1036</v>
      </c>
      <c r="J240" s="2" t="s">
        <v>1037</v>
      </c>
      <c r="K240" s="4" t="s">
        <v>1038</v>
      </c>
      <c r="L240" s="2" t="s">
        <v>1039</v>
      </c>
      <c r="M240" s="4" t="s">
        <v>58</v>
      </c>
      <c r="N240" s="2" t="s">
        <v>1040</v>
      </c>
      <c r="O240" s="2" t="s">
        <v>60</v>
      </c>
      <c r="P240" s="2" t="s">
        <v>897</v>
      </c>
      <c r="Q240" s="2" t="s">
        <v>1041</v>
      </c>
      <c r="R240" s="4" t="s">
        <v>30</v>
      </c>
      <c r="S240" s="5" t="n">
        <v>69575</v>
      </c>
      <c r="T240" s="2" t="s">
        <v>407</v>
      </c>
    </row>
    <row r="241" customFormat="false" ht="15" hidden="false" customHeight="false" outlineLevel="0" collapsed="false">
      <c r="A241" s="2" t="s">
        <v>1042</v>
      </c>
      <c r="B241" s="3" t="n">
        <v>45954</v>
      </c>
      <c r="C241" s="3" t="n">
        <v>45954</v>
      </c>
      <c r="D241" s="2" t="s">
        <v>21</v>
      </c>
      <c r="E241" s="4" t="s">
        <v>52</v>
      </c>
      <c r="F241" s="5" t="n">
        <v>195066</v>
      </c>
      <c r="G241" s="6" t="n">
        <f aca="false">G240+IF(E241="Credit",F241,IF(E241="Debit",-F241,0))</f>
        <v>6994991</v>
      </c>
      <c r="H241" s="4" t="s">
        <v>180</v>
      </c>
      <c r="I241" s="2" t="s">
        <v>1043</v>
      </c>
      <c r="J241" s="2" t="s">
        <v>1044</v>
      </c>
      <c r="K241" s="4" t="s">
        <v>519</v>
      </c>
      <c r="L241" s="2" t="s">
        <v>520</v>
      </c>
      <c r="M241" s="4" t="s">
        <v>58</v>
      </c>
      <c r="N241" s="2" t="s">
        <v>1045</v>
      </c>
      <c r="O241" s="2" t="s">
        <v>60</v>
      </c>
      <c r="P241" s="2" t="s">
        <v>354</v>
      </c>
      <c r="Q241" s="2" t="s">
        <v>875</v>
      </c>
      <c r="R241" s="4" t="s">
        <v>30</v>
      </c>
      <c r="S241" s="5" t="n">
        <v>20900</v>
      </c>
      <c r="T241" s="2" t="s">
        <v>1046</v>
      </c>
    </row>
    <row r="242" customFormat="false" ht="15" hidden="false" customHeight="false" outlineLevel="0" collapsed="false">
      <c r="A242" s="2" t="s">
        <v>1047</v>
      </c>
      <c r="B242" s="3" t="n">
        <v>45955</v>
      </c>
      <c r="C242" s="3" t="n">
        <v>45955</v>
      </c>
      <c r="D242" s="2" t="s">
        <v>21</v>
      </c>
      <c r="E242" s="4" t="s">
        <v>52</v>
      </c>
      <c r="F242" s="5" t="n">
        <v>12100</v>
      </c>
      <c r="G242" s="6" t="n">
        <f aca="false">G241+IF(E242="Credit",F242,IF(E242="Debit",-F242,0))</f>
        <v>7007091</v>
      </c>
      <c r="H242" s="4" t="s">
        <v>53</v>
      </c>
      <c r="I242" s="2" t="s">
        <v>370</v>
      </c>
      <c r="J242" s="2" t="s">
        <v>371</v>
      </c>
      <c r="K242" s="4" t="s">
        <v>67</v>
      </c>
      <c r="L242" s="2" t="s">
        <v>68</v>
      </c>
      <c r="M242" s="4" t="s">
        <v>69</v>
      </c>
      <c r="N242" s="2" t="s">
        <v>1048</v>
      </c>
      <c r="O242" s="2" t="s">
        <v>373</v>
      </c>
      <c r="P242" s="2" t="s">
        <v>374</v>
      </c>
      <c r="Q242" s="2"/>
      <c r="R242" s="4" t="s">
        <v>30</v>
      </c>
      <c r="S242" s="5" t="n">
        <v>0</v>
      </c>
      <c r="T242" s="2"/>
    </row>
    <row r="243" customFormat="false" ht="15" hidden="false" customHeight="false" outlineLevel="0" collapsed="false">
      <c r="A243" s="2" t="s">
        <v>1049</v>
      </c>
      <c r="B243" s="3" t="n">
        <v>45956</v>
      </c>
      <c r="C243" s="3" t="n">
        <v>45956</v>
      </c>
      <c r="D243" s="2" t="s">
        <v>21</v>
      </c>
      <c r="E243" s="4" t="s">
        <v>33</v>
      </c>
      <c r="F243" s="5" t="n">
        <v>177000</v>
      </c>
      <c r="G243" s="6" t="n">
        <f aca="false">G242+IF(E243="Credit",F243,IF(E243="Debit",-F243,0))</f>
        <v>6830091</v>
      </c>
      <c r="H243" s="4" t="s">
        <v>99</v>
      </c>
      <c r="I243" s="2" t="s">
        <v>293</v>
      </c>
      <c r="J243" s="2" t="s">
        <v>1050</v>
      </c>
      <c r="K243" s="4" t="s">
        <v>295</v>
      </c>
      <c r="L243" s="2" t="s">
        <v>296</v>
      </c>
      <c r="M243" s="4" t="s">
        <v>167</v>
      </c>
      <c r="N243" s="2" t="s">
        <v>1051</v>
      </c>
      <c r="O243" s="2" t="s">
        <v>160</v>
      </c>
      <c r="P243" s="2" t="s">
        <v>1052</v>
      </c>
      <c r="Q243" s="2" t="s">
        <v>1053</v>
      </c>
      <c r="R243" s="4" t="s">
        <v>30</v>
      </c>
      <c r="S243" s="5" t="n">
        <v>27000</v>
      </c>
      <c r="T243" s="2"/>
    </row>
    <row r="244" customFormat="false" ht="15" hidden="false" customHeight="false" outlineLevel="0" collapsed="false">
      <c r="A244" s="2" t="s">
        <v>1054</v>
      </c>
      <c r="B244" s="3" t="n">
        <v>45956</v>
      </c>
      <c r="C244" s="3" t="n">
        <v>45956</v>
      </c>
      <c r="D244" s="2" t="s">
        <v>21</v>
      </c>
      <c r="E244" s="4" t="s">
        <v>33</v>
      </c>
      <c r="F244" s="5" t="n">
        <v>1250</v>
      </c>
      <c r="G244" s="6" t="n">
        <f aca="false">G243+IF(E244="Credit",F244,IF(E244="Debit",-F244,0))</f>
        <v>6828841</v>
      </c>
      <c r="H244" s="4" t="s">
        <v>53</v>
      </c>
      <c r="I244" s="2" t="s">
        <v>214</v>
      </c>
      <c r="J244" s="2" t="s">
        <v>1055</v>
      </c>
      <c r="K244" s="4" t="s">
        <v>67</v>
      </c>
      <c r="L244" s="2" t="s">
        <v>68</v>
      </c>
      <c r="M244" s="4" t="s">
        <v>69</v>
      </c>
      <c r="N244" s="2" t="s">
        <v>1056</v>
      </c>
      <c r="O244" s="2" t="s">
        <v>96</v>
      </c>
      <c r="P244" s="2" t="s">
        <v>217</v>
      </c>
      <c r="Q244" s="2"/>
      <c r="R244" s="4" t="s">
        <v>30</v>
      </c>
      <c r="S244" s="5" t="n">
        <v>0</v>
      </c>
      <c r="T244" s="2"/>
    </row>
    <row r="245" customFormat="false" ht="15" hidden="false" customHeight="false" outlineLevel="0" collapsed="false">
      <c r="A245" s="2" t="s">
        <v>1057</v>
      </c>
      <c r="B245" s="3" t="n">
        <v>45958</v>
      </c>
      <c r="C245" s="3" t="n">
        <v>45958</v>
      </c>
      <c r="D245" s="2" t="s">
        <v>21</v>
      </c>
      <c r="E245" s="4" t="s">
        <v>33</v>
      </c>
      <c r="F245" s="5" t="n">
        <v>59000</v>
      </c>
      <c r="G245" s="6" t="n">
        <f aca="false">G244+IF(E245="Credit",F245,IF(E245="Debit",-F245,0))</f>
        <v>6769841</v>
      </c>
      <c r="H245" s="4" t="s">
        <v>99</v>
      </c>
      <c r="I245" s="2" t="s">
        <v>1058</v>
      </c>
      <c r="J245" s="2" t="s">
        <v>1059</v>
      </c>
      <c r="K245" s="4" t="s">
        <v>549</v>
      </c>
      <c r="L245" s="2" t="s">
        <v>550</v>
      </c>
      <c r="M245" s="4" t="s">
        <v>38</v>
      </c>
      <c r="N245" s="2" t="s">
        <v>1060</v>
      </c>
      <c r="O245" s="2" t="s">
        <v>160</v>
      </c>
      <c r="P245" s="2" t="s">
        <v>552</v>
      </c>
      <c r="Q245" s="2" t="s">
        <v>1061</v>
      </c>
      <c r="R245" s="4" t="s">
        <v>30</v>
      </c>
      <c r="S245" s="5" t="n">
        <v>9000</v>
      </c>
      <c r="T245" s="2" t="s">
        <v>413</v>
      </c>
    </row>
    <row r="246" customFormat="false" ht="15" hidden="false" customHeight="false" outlineLevel="0" collapsed="false">
      <c r="A246" s="2" t="s">
        <v>1062</v>
      </c>
      <c r="B246" s="3" t="n">
        <v>45958</v>
      </c>
      <c r="C246" s="3" t="n">
        <v>45958</v>
      </c>
      <c r="D246" s="2" t="s">
        <v>21</v>
      </c>
      <c r="E246" s="4" t="s">
        <v>33</v>
      </c>
      <c r="F246" s="5" t="n">
        <v>8350</v>
      </c>
      <c r="G246" s="6" t="n">
        <f aca="false">G245+IF(E246="Credit",F246,IF(E246="Debit",-F246,0))</f>
        <v>6761491</v>
      </c>
      <c r="H246" s="4" t="s">
        <v>74</v>
      </c>
      <c r="I246" s="2" t="s">
        <v>1063</v>
      </c>
      <c r="J246" s="2" t="s">
        <v>1063</v>
      </c>
      <c r="K246" s="4" t="s">
        <v>36</v>
      </c>
      <c r="L246" s="2" t="s">
        <v>37</v>
      </c>
      <c r="M246" s="4" t="s">
        <v>38</v>
      </c>
      <c r="N246" s="2" t="s">
        <v>1064</v>
      </c>
      <c r="O246" s="2" t="s">
        <v>40</v>
      </c>
      <c r="P246" s="2" t="s">
        <v>41</v>
      </c>
      <c r="Q246" s="2"/>
      <c r="R246" s="4" t="s">
        <v>30</v>
      </c>
      <c r="S246" s="5" t="n">
        <v>0</v>
      </c>
      <c r="T246" s="2"/>
    </row>
    <row r="247" customFormat="false" ht="15" hidden="false" customHeight="false" outlineLevel="0" collapsed="false">
      <c r="A247" s="2" t="s">
        <v>1065</v>
      </c>
      <c r="B247" s="3" t="n">
        <v>45958</v>
      </c>
      <c r="C247" s="3" t="n">
        <v>45958</v>
      </c>
      <c r="D247" s="2" t="s">
        <v>21</v>
      </c>
      <c r="E247" s="4" t="s">
        <v>33</v>
      </c>
      <c r="F247" s="5" t="n">
        <v>32500</v>
      </c>
      <c r="G247" s="6" t="n">
        <f aca="false">G246+IF(E247="Credit",F247,IF(E247="Debit",-F247,0))</f>
        <v>6728991</v>
      </c>
      <c r="H247" s="4" t="s">
        <v>99</v>
      </c>
      <c r="I247" s="2" t="s">
        <v>905</v>
      </c>
      <c r="J247" s="2" t="s">
        <v>906</v>
      </c>
      <c r="K247" s="4" t="s">
        <v>907</v>
      </c>
      <c r="L247" s="2" t="s">
        <v>908</v>
      </c>
      <c r="M247" s="4" t="s">
        <v>167</v>
      </c>
      <c r="N247" s="2" t="s">
        <v>1066</v>
      </c>
      <c r="O247" s="2" t="s">
        <v>910</v>
      </c>
      <c r="P247" s="2" t="s">
        <v>911</v>
      </c>
      <c r="Q247" s="2"/>
      <c r="R247" s="4" t="s">
        <v>30</v>
      </c>
      <c r="S247" s="5" t="n">
        <v>0</v>
      </c>
      <c r="T247" s="2"/>
    </row>
    <row r="248" customFormat="false" ht="15" hidden="false" customHeight="false" outlineLevel="0" collapsed="false">
      <c r="A248" s="2" t="s">
        <v>1067</v>
      </c>
      <c r="B248" s="3" t="n">
        <v>45959</v>
      </c>
      <c r="C248" s="3" t="n">
        <v>45959</v>
      </c>
      <c r="D248" s="2" t="s">
        <v>21</v>
      </c>
      <c r="E248" s="4" t="s">
        <v>33</v>
      </c>
      <c r="F248" s="5" t="n">
        <v>101300</v>
      </c>
      <c r="G248" s="6" t="n">
        <f aca="false">G247+IF(E248="Credit",F248,IF(E248="Debit",-F248,0))</f>
        <v>6627691</v>
      </c>
      <c r="H248" s="4" t="s">
        <v>53</v>
      </c>
      <c r="I248" s="2" t="s">
        <v>219</v>
      </c>
      <c r="J248" s="2" t="s">
        <v>1068</v>
      </c>
      <c r="K248" s="4" t="s">
        <v>221</v>
      </c>
      <c r="L248" s="2" t="s">
        <v>222</v>
      </c>
      <c r="M248" s="4" t="s">
        <v>223</v>
      </c>
      <c r="N248" s="2" t="s">
        <v>1069</v>
      </c>
      <c r="O248" s="2" t="s">
        <v>225</v>
      </c>
      <c r="P248" s="2" t="s">
        <v>226</v>
      </c>
      <c r="Q248" s="2"/>
      <c r="R248" s="4" t="s">
        <v>30</v>
      </c>
      <c r="S248" s="5" t="n">
        <v>0</v>
      </c>
      <c r="T248" s="2"/>
    </row>
    <row r="249" customFormat="false" ht="15" hidden="false" customHeight="false" outlineLevel="0" collapsed="false">
      <c r="A249" s="2" t="s">
        <v>1070</v>
      </c>
      <c r="B249" s="3" t="n">
        <v>45959</v>
      </c>
      <c r="C249" s="3" t="n">
        <v>45959</v>
      </c>
      <c r="D249" s="2" t="s">
        <v>21</v>
      </c>
      <c r="E249" s="4" t="s">
        <v>33</v>
      </c>
      <c r="F249" s="5" t="n">
        <v>139700</v>
      </c>
      <c r="G249" s="6" t="n">
        <f aca="false">G248+IF(E249="Credit",F249,IF(E249="Debit",-F249,0))</f>
        <v>6487991</v>
      </c>
      <c r="H249" s="4" t="s">
        <v>53</v>
      </c>
      <c r="I249" s="2" t="s">
        <v>228</v>
      </c>
      <c r="J249" s="2" t="s">
        <v>1068</v>
      </c>
      <c r="K249" s="4" t="s">
        <v>229</v>
      </c>
      <c r="L249" s="2" t="s">
        <v>230</v>
      </c>
      <c r="M249" s="4" t="s">
        <v>223</v>
      </c>
      <c r="N249" s="2" t="s">
        <v>1071</v>
      </c>
      <c r="O249" s="2" t="s">
        <v>225</v>
      </c>
      <c r="P249" s="2" t="s">
        <v>226</v>
      </c>
      <c r="Q249" s="2"/>
      <c r="R249" s="4" t="s">
        <v>30</v>
      </c>
      <c r="S249" s="5" t="n">
        <v>0</v>
      </c>
      <c r="T249" s="2"/>
    </row>
    <row r="250" customFormat="false" ht="15" hidden="false" customHeight="false" outlineLevel="0" collapsed="false">
      <c r="A250" s="2" t="s">
        <v>1072</v>
      </c>
      <c r="B250" s="3" t="n">
        <v>45959</v>
      </c>
      <c r="C250" s="3" t="n">
        <v>45959</v>
      </c>
      <c r="D250" s="2" t="s">
        <v>21</v>
      </c>
      <c r="E250" s="4" t="s">
        <v>33</v>
      </c>
      <c r="F250" s="5" t="n">
        <v>178400</v>
      </c>
      <c r="G250" s="6" t="n">
        <f aca="false">G249+IF(E250="Credit",F250,IF(E250="Debit",-F250,0))</f>
        <v>6309591</v>
      </c>
      <c r="H250" s="4" t="s">
        <v>53</v>
      </c>
      <c r="I250" s="2" t="s">
        <v>233</v>
      </c>
      <c r="J250" s="2" t="s">
        <v>1068</v>
      </c>
      <c r="K250" s="4" t="s">
        <v>234</v>
      </c>
      <c r="L250" s="2" t="s">
        <v>235</v>
      </c>
      <c r="M250" s="4" t="s">
        <v>223</v>
      </c>
      <c r="N250" s="2" t="s">
        <v>1073</v>
      </c>
      <c r="O250" s="2" t="s">
        <v>225</v>
      </c>
      <c r="P250" s="2" t="s">
        <v>237</v>
      </c>
      <c r="Q250" s="2"/>
      <c r="R250" s="4" t="s">
        <v>30</v>
      </c>
      <c r="S250" s="5" t="n">
        <v>0</v>
      </c>
      <c r="T250" s="2"/>
    </row>
    <row r="251" customFormat="false" ht="15" hidden="false" customHeight="false" outlineLevel="0" collapsed="false">
      <c r="A251" s="2" t="s">
        <v>1074</v>
      </c>
      <c r="B251" s="3" t="n">
        <v>45959</v>
      </c>
      <c r="C251" s="3" t="n">
        <v>45959</v>
      </c>
      <c r="D251" s="2" t="s">
        <v>21</v>
      </c>
      <c r="E251" s="4" t="s">
        <v>33</v>
      </c>
      <c r="F251" s="5" t="n">
        <v>107500</v>
      </c>
      <c r="G251" s="6" t="n">
        <f aca="false">G250+IF(E251="Credit",F251,IF(E251="Debit",-F251,0))</f>
        <v>6202091</v>
      </c>
      <c r="H251" s="4" t="s">
        <v>53</v>
      </c>
      <c r="I251" s="2" t="s">
        <v>239</v>
      </c>
      <c r="J251" s="2" t="s">
        <v>1068</v>
      </c>
      <c r="K251" s="4" t="s">
        <v>240</v>
      </c>
      <c r="L251" s="2" t="s">
        <v>241</v>
      </c>
      <c r="M251" s="4" t="s">
        <v>223</v>
      </c>
      <c r="N251" s="2" t="s">
        <v>1075</v>
      </c>
      <c r="O251" s="2" t="s">
        <v>225</v>
      </c>
      <c r="P251" s="2" t="s">
        <v>243</v>
      </c>
      <c r="Q251" s="2"/>
      <c r="R251" s="4" t="s">
        <v>30</v>
      </c>
      <c r="S251" s="5" t="n">
        <v>0</v>
      </c>
      <c r="T251" s="2"/>
    </row>
    <row r="252" customFormat="false" ht="15" hidden="false" customHeight="false" outlineLevel="0" collapsed="false">
      <c r="A252" s="2" t="s">
        <v>1076</v>
      </c>
      <c r="B252" s="3" t="n">
        <v>45959</v>
      </c>
      <c r="C252" s="3" t="n">
        <v>45959</v>
      </c>
      <c r="D252" s="2" t="s">
        <v>21</v>
      </c>
      <c r="E252" s="4" t="s">
        <v>33</v>
      </c>
      <c r="F252" s="5" t="n">
        <v>143900</v>
      </c>
      <c r="G252" s="6" t="n">
        <f aca="false">G251+IF(E252="Credit",F252,IF(E252="Debit",-F252,0))</f>
        <v>6058191</v>
      </c>
      <c r="H252" s="4" t="s">
        <v>53</v>
      </c>
      <c r="I252" s="2" t="s">
        <v>245</v>
      </c>
      <c r="J252" s="2" t="s">
        <v>1068</v>
      </c>
      <c r="K252" s="4" t="s">
        <v>246</v>
      </c>
      <c r="L252" s="2" t="s">
        <v>247</v>
      </c>
      <c r="M252" s="4" t="s">
        <v>223</v>
      </c>
      <c r="N252" s="2" t="s">
        <v>1077</v>
      </c>
      <c r="O252" s="2" t="s">
        <v>225</v>
      </c>
      <c r="P252" s="2" t="s">
        <v>226</v>
      </c>
      <c r="Q252" s="2"/>
      <c r="R252" s="4" t="s">
        <v>30</v>
      </c>
      <c r="S252" s="5" t="n">
        <v>0</v>
      </c>
      <c r="T252" s="2"/>
    </row>
    <row r="253" customFormat="false" ht="15" hidden="false" customHeight="false" outlineLevel="0" collapsed="false">
      <c r="A253" s="2" t="s">
        <v>1078</v>
      </c>
      <c r="B253" s="3" t="n">
        <v>45959</v>
      </c>
      <c r="C253" s="3" t="n">
        <v>45959</v>
      </c>
      <c r="D253" s="2" t="s">
        <v>21</v>
      </c>
      <c r="E253" s="4" t="s">
        <v>33</v>
      </c>
      <c r="F253" s="5" t="n">
        <v>93100</v>
      </c>
      <c r="G253" s="6" t="n">
        <f aca="false">G252+IF(E253="Credit",F253,IF(E253="Debit",-F253,0))</f>
        <v>5965091</v>
      </c>
      <c r="H253" s="4" t="s">
        <v>53</v>
      </c>
      <c r="I253" s="2" t="s">
        <v>250</v>
      </c>
      <c r="J253" s="2" t="s">
        <v>1068</v>
      </c>
      <c r="K253" s="4" t="s">
        <v>251</v>
      </c>
      <c r="L253" s="2" t="s">
        <v>252</v>
      </c>
      <c r="M253" s="4" t="s">
        <v>223</v>
      </c>
      <c r="N253" s="2" t="s">
        <v>1079</v>
      </c>
      <c r="O253" s="2" t="s">
        <v>225</v>
      </c>
      <c r="P253" s="2" t="s">
        <v>226</v>
      </c>
      <c r="Q253" s="2"/>
      <c r="R253" s="4" t="s">
        <v>30</v>
      </c>
      <c r="S253" s="5" t="n">
        <v>0</v>
      </c>
      <c r="T253" s="2"/>
    </row>
    <row r="254" customFormat="false" ht="15" hidden="false" customHeight="false" outlineLevel="0" collapsed="false">
      <c r="A254" s="2" t="s">
        <v>1080</v>
      </c>
      <c r="B254" s="3" t="n">
        <v>45959</v>
      </c>
      <c r="C254" s="3" t="n">
        <v>45959</v>
      </c>
      <c r="D254" s="2" t="s">
        <v>21</v>
      </c>
      <c r="E254" s="4" t="s">
        <v>33</v>
      </c>
      <c r="F254" s="5" t="n">
        <v>116400</v>
      </c>
      <c r="G254" s="6" t="n">
        <f aca="false">G253+IF(E254="Credit",F254,IF(E254="Debit",-F254,0))</f>
        <v>5848691</v>
      </c>
      <c r="H254" s="4" t="s">
        <v>53</v>
      </c>
      <c r="I254" s="2" t="s">
        <v>255</v>
      </c>
      <c r="J254" s="2" t="s">
        <v>1068</v>
      </c>
      <c r="K254" s="4" t="s">
        <v>256</v>
      </c>
      <c r="L254" s="2" t="s">
        <v>257</v>
      </c>
      <c r="M254" s="4" t="s">
        <v>223</v>
      </c>
      <c r="N254" s="2" t="s">
        <v>1081</v>
      </c>
      <c r="O254" s="2" t="s">
        <v>225</v>
      </c>
      <c r="P254" s="2" t="s">
        <v>237</v>
      </c>
      <c r="Q254" s="2"/>
      <c r="R254" s="4" t="s">
        <v>30</v>
      </c>
      <c r="S254" s="5" t="n">
        <v>0</v>
      </c>
      <c r="T254" s="2"/>
    </row>
    <row r="255" customFormat="false" ht="15" hidden="false" customHeight="false" outlineLevel="0" collapsed="false">
      <c r="A255" s="2" t="s">
        <v>1082</v>
      </c>
      <c r="B255" s="3" t="n">
        <v>45959</v>
      </c>
      <c r="C255" s="3" t="n">
        <v>45959</v>
      </c>
      <c r="D255" s="2" t="s">
        <v>21</v>
      </c>
      <c r="E255" s="4" t="s">
        <v>33</v>
      </c>
      <c r="F255" s="5" t="n">
        <v>128300</v>
      </c>
      <c r="G255" s="6" t="n">
        <f aca="false">G254+IF(E255="Credit",F255,IF(E255="Debit",-F255,0))</f>
        <v>5720391</v>
      </c>
      <c r="H255" s="4" t="s">
        <v>53</v>
      </c>
      <c r="I255" s="2" t="s">
        <v>260</v>
      </c>
      <c r="J255" s="2" t="s">
        <v>1068</v>
      </c>
      <c r="K255" s="4" t="s">
        <v>261</v>
      </c>
      <c r="L255" s="2" t="s">
        <v>262</v>
      </c>
      <c r="M255" s="4" t="s">
        <v>223</v>
      </c>
      <c r="N255" s="2" t="s">
        <v>1083</v>
      </c>
      <c r="O255" s="2" t="s">
        <v>225</v>
      </c>
      <c r="P255" s="2" t="s">
        <v>264</v>
      </c>
      <c r="Q255" s="2"/>
      <c r="R255" s="4" t="s">
        <v>30</v>
      </c>
      <c r="S255" s="5" t="n">
        <v>0</v>
      </c>
      <c r="T255" s="2"/>
    </row>
    <row r="256" customFormat="false" ht="15" hidden="false" customHeight="false" outlineLevel="0" collapsed="false">
      <c r="A256" s="2" t="s">
        <v>1084</v>
      </c>
      <c r="B256" s="3" t="n">
        <v>45959</v>
      </c>
      <c r="C256" s="3" t="n">
        <v>45959</v>
      </c>
      <c r="D256" s="2" t="s">
        <v>21</v>
      </c>
      <c r="E256" s="4" t="s">
        <v>33</v>
      </c>
      <c r="F256" s="5" t="n">
        <v>86400</v>
      </c>
      <c r="G256" s="6" t="n">
        <f aca="false">G255+IF(E256="Credit",F256,IF(E256="Debit",-F256,0))</f>
        <v>5633991</v>
      </c>
      <c r="H256" s="4" t="s">
        <v>53</v>
      </c>
      <c r="I256" s="2" t="s">
        <v>266</v>
      </c>
      <c r="J256" s="2" t="s">
        <v>1068</v>
      </c>
      <c r="K256" s="4" t="s">
        <v>267</v>
      </c>
      <c r="L256" s="2" t="s">
        <v>268</v>
      </c>
      <c r="M256" s="4" t="s">
        <v>223</v>
      </c>
      <c r="N256" s="2" t="s">
        <v>1085</v>
      </c>
      <c r="O256" s="2" t="s">
        <v>225</v>
      </c>
      <c r="P256" s="2" t="s">
        <v>270</v>
      </c>
      <c r="Q256" s="2"/>
      <c r="R256" s="4" t="s">
        <v>30</v>
      </c>
      <c r="S256" s="5" t="n">
        <v>0</v>
      </c>
      <c r="T256" s="2"/>
    </row>
    <row r="257" customFormat="false" ht="15" hidden="false" customHeight="false" outlineLevel="0" collapsed="false">
      <c r="A257" s="2" t="s">
        <v>1086</v>
      </c>
      <c r="B257" s="3" t="n">
        <v>45959</v>
      </c>
      <c r="C257" s="3" t="n">
        <v>45959</v>
      </c>
      <c r="D257" s="2" t="s">
        <v>21</v>
      </c>
      <c r="E257" s="4" t="s">
        <v>33</v>
      </c>
      <c r="F257" s="5" t="n">
        <v>124200</v>
      </c>
      <c r="G257" s="6" t="n">
        <f aca="false">G256+IF(E257="Credit",F257,IF(E257="Debit",-F257,0))</f>
        <v>5509791</v>
      </c>
      <c r="H257" s="4" t="s">
        <v>53</v>
      </c>
      <c r="I257" s="2" t="s">
        <v>272</v>
      </c>
      <c r="J257" s="2" t="s">
        <v>1068</v>
      </c>
      <c r="K257" s="4" t="s">
        <v>273</v>
      </c>
      <c r="L257" s="2" t="s">
        <v>274</v>
      </c>
      <c r="M257" s="4" t="s">
        <v>223</v>
      </c>
      <c r="N257" s="2" t="s">
        <v>1087</v>
      </c>
      <c r="O257" s="2" t="s">
        <v>225</v>
      </c>
      <c r="P257" s="2" t="s">
        <v>276</v>
      </c>
      <c r="Q257" s="2"/>
      <c r="R257" s="4" t="s">
        <v>30</v>
      </c>
      <c r="S257" s="5" t="n">
        <v>0</v>
      </c>
      <c r="T257" s="2"/>
    </row>
    <row r="258" customFormat="false" ht="15" hidden="false" customHeight="false" outlineLevel="0" collapsed="false">
      <c r="A258" s="2" t="s">
        <v>1088</v>
      </c>
      <c r="B258" s="3" t="n">
        <v>45959</v>
      </c>
      <c r="C258" s="3" t="n">
        <v>45959</v>
      </c>
      <c r="D258" s="2" t="s">
        <v>21</v>
      </c>
      <c r="E258" s="4" t="s">
        <v>33</v>
      </c>
      <c r="F258" s="5" t="n">
        <v>200000</v>
      </c>
      <c r="G258" s="6" t="n">
        <f aca="false">G257+IF(E258="Credit",F258,IF(E258="Debit",-F258,0))</f>
        <v>5309791</v>
      </c>
      <c r="H258" s="4" t="s">
        <v>53</v>
      </c>
      <c r="I258" s="2" t="s">
        <v>278</v>
      </c>
      <c r="J258" s="2" t="s">
        <v>1068</v>
      </c>
      <c r="K258" s="4" t="s">
        <v>279</v>
      </c>
      <c r="L258" s="2" t="s">
        <v>280</v>
      </c>
      <c r="M258" s="4" t="s">
        <v>223</v>
      </c>
      <c r="N258" s="2" t="s">
        <v>1089</v>
      </c>
      <c r="O258" s="2" t="s">
        <v>225</v>
      </c>
      <c r="P258" s="2" t="s">
        <v>226</v>
      </c>
      <c r="Q258" s="2"/>
      <c r="R258" s="4" t="s">
        <v>30</v>
      </c>
      <c r="S258" s="5" t="n">
        <v>0</v>
      </c>
      <c r="T258" s="2"/>
    </row>
    <row r="259" customFormat="false" ht="15" hidden="false" customHeight="false" outlineLevel="0" collapsed="false">
      <c r="A259" s="2" t="s">
        <v>1090</v>
      </c>
      <c r="B259" s="3" t="n">
        <v>45959</v>
      </c>
      <c r="C259" s="3" t="n">
        <v>45959</v>
      </c>
      <c r="D259" s="2" t="s">
        <v>21</v>
      </c>
      <c r="E259" s="4" t="s">
        <v>33</v>
      </c>
      <c r="F259" s="5" t="n">
        <v>83500</v>
      </c>
      <c r="G259" s="6" t="n">
        <f aca="false">G258+IF(E259="Credit",F259,IF(E259="Debit",-F259,0))</f>
        <v>5226291</v>
      </c>
      <c r="H259" s="4" t="s">
        <v>53</v>
      </c>
      <c r="I259" s="2" t="s">
        <v>283</v>
      </c>
      <c r="J259" s="2" t="s">
        <v>1068</v>
      </c>
      <c r="K259" s="4" t="s">
        <v>284</v>
      </c>
      <c r="L259" s="2" t="s">
        <v>285</v>
      </c>
      <c r="M259" s="4" t="s">
        <v>223</v>
      </c>
      <c r="N259" s="2" t="s">
        <v>1091</v>
      </c>
      <c r="O259" s="2" t="s">
        <v>225</v>
      </c>
      <c r="P259" s="2" t="s">
        <v>287</v>
      </c>
      <c r="Q259" s="2"/>
      <c r="R259" s="4" t="s">
        <v>30</v>
      </c>
      <c r="S259" s="5" t="n">
        <v>0</v>
      </c>
      <c r="T259" s="2"/>
    </row>
    <row r="260" customFormat="false" ht="15" hidden="false" customHeight="false" outlineLevel="0" collapsed="false">
      <c r="A260" s="2" t="s">
        <v>1092</v>
      </c>
      <c r="B260" s="3" t="n">
        <v>45959</v>
      </c>
      <c r="C260" s="3" t="n">
        <v>45959</v>
      </c>
      <c r="D260" s="2" t="s">
        <v>21</v>
      </c>
      <c r="E260" s="4" t="s">
        <v>52</v>
      </c>
      <c r="F260" s="5" t="n">
        <v>26000</v>
      </c>
      <c r="G260" s="6" t="n">
        <f aca="false">G259+IF(E260="Credit",F260,IF(E260="Debit",-F260,0))</f>
        <v>5252291</v>
      </c>
      <c r="H260" s="4" t="s">
        <v>99</v>
      </c>
      <c r="I260" s="2" t="s">
        <v>1093</v>
      </c>
      <c r="J260" s="2" t="s">
        <v>55</v>
      </c>
      <c r="K260" s="4" t="s">
        <v>764</v>
      </c>
      <c r="L260" s="2" t="s">
        <v>765</v>
      </c>
      <c r="M260" s="4" t="s">
        <v>58</v>
      </c>
      <c r="N260" s="2" t="s">
        <v>1094</v>
      </c>
      <c r="O260" s="2" t="s">
        <v>60</v>
      </c>
      <c r="P260" s="2" t="s">
        <v>61</v>
      </c>
      <c r="Q260" s="2"/>
      <c r="R260" s="4" t="s">
        <v>30</v>
      </c>
      <c r="S260" s="5" t="n">
        <v>0</v>
      </c>
      <c r="T260" s="2" t="s">
        <v>62</v>
      </c>
    </row>
    <row r="261" customFormat="false" ht="15" hidden="false" customHeight="false" outlineLevel="0" collapsed="false">
      <c r="A261" s="2" t="s">
        <v>1095</v>
      </c>
      <c r="B261" s="3" t="n">
        <v>45962</v>
      </c>
      <c r="C261" s="3" t="n">
        <v>45962</v>
      </c>
      <c r="D261" s="2" t="s">
        <v>21</v>
      </c>
      <c r="E261" s="4" t="s">
        <v>52</v>
      </c>
      <c r="F261" s="5" t="n">
        <v>138000</v>
      </c>
      <c r="G261" s="6" t="n">
        <f aca="false">G260+IF(E261="Credit",F261,IF(E261="Debit",-F261,0))</f>
        <v>5390291</v>
      </c>
      <c r="H261" s="4" t="s">
        <v>53</v>
      </c>
      <c r="I261" s="2" t="s">
        <v>531</v>
      </c>
      <c r="J261" s="2" t="s">
        <v>1096</v>
      </c>
      <c r="K261" s="4" t="s">
        <v>533</v>
      </c>
      <c r="L261" s="2" t="s">
        <v>534</v>
      </c>
      <c r="M261" s="4" t="s">
        <v>58</v>
      </c>
      <c r="N261" s="2" t="s">
        <v>1097</v>
      </c>
      <c r="O261" s="2" t="s">
        <v>60</v>
      </c>
      <c r="P261" s="2" t="s">
        <v>318</v>
      </c>
      <c r="Q261" s="2" t="s">
        <v>1098</v>
      </c>
      <c r="R261" s="4" t="s">
        <v>30</v>
      </c>
      <c r="S261" s="5" t="n">
        <v>14786</v>
      </c>
      <c r="T261" s="2" t="s">
        <v>407</v>
      </c>
    </row>
    <row r="262" customFormat="false" ht="15" hidden="false" customHeight="false" outlineLevel="0" collapsed="false">
      <c r="A262" s="2" t="s">
        <v>1099</v>
      </c>
      <c r="B262" s="3" t="n">
        <v>45962</v>
      </c>
      <c r="C262" s="3" t="n">
        <v>45962</v>
      </c>
      <c r="D262" s="2" t="s">
        <v>21</v>
      </c>
      <c r="E262" s="4" t="s">
        <v>33</v>
      </c>
      <c r="F262" s="5" t="n">
        <v>157500</v>
      </c>
      <c r="G262" s="6" t="n">
        <f aca="false">G261+IF(E262="Credit",F262,IF(E262="Debit",-F262,0))</f>
        <v>5232791</v>
      </c>
      <c r="H262" s="4" t="s">
        <v>99</v>
      </c>
      <c r="I262" s="2" t="s">
        <v>1100</v>
      </c>
      <c r="J262" s="2" t="s">
        <v>1101</v>
      </c>
      <c r="K262" s="4" t="s">
        <v>1102</v>
      </c>
      <c r="L262" s="2" t="s">
        <v>1103</v>
      </c>
      <c r="M262" s="4" t="s">
        <v>38</v>
      </c>
      <c r="N262" s="2" t="s">
        <v>1104</v>
      </c>
      <c r="O262" s="2" t="s">
        <v>160</v>
      </c>
      <c r="P262" s="2" t="s">
        <v>394</v>
      </c>
      <c r="Q262" s="2" t="s">
        <v>1105</v>
      </c>
      <c r="R262" s="4" t="s">
        <v>30</v>
      </c>
      <c r="S262" s="5" t="n">
        <v>7500</v>
      </c>
      <c r="T262" s="2"/>
    </row>
    <row r="263" customFormat="false" ht="15" hidden="false" customHeight="false" outlineLevel="0" collapsed="false">
      <c r="A263" s="2" t="s">
        <v>1106</v>
      </c>
      <c r="B263" s="3" t="n">
        <v>45962</v>
      </c>
      <c r="C263" s="3" t="n">
        <v>45962</v>
      </c>
      <c r="D263" s="2" t="s">
        <v>21</v>
      </c>
      <c r="E263" s="4" t="s">
        <v>33</v>
      </c>
      <c r="F263" s="5" t="n">
        <v>4650</v>
      </c>
      <c r="G263" s="6" t="n">
        <f aca="false">G262+IF(E263="Credit",F263,IF(E263="Debit",-F263,0))</f>
        <v>5228141</v>
      </c>
      <c r="H263" s="4" t="s">
        <v>34</v>
      </c>
      <c r="I263" s="2" t="s">
        <v>1063</v>
      </c>
      <c r="J263" s="2" t="s">
        <v>1063</v>
      </c>
      <c r="K263" s="4" t="s">
        <v>36</v>
      </c>
      <c r="L263" s="2" t="s">
        <v>37</v>
      </c>
      <c r="M263" s="4" t="s">
        <v>38</v>
      </c>
      <c r="N263" s="2" t="s">
        <v>1107</v>
      </c>
      <c r="O263" s="2" t="s">
        <v>40</v>
      </c>
      <c r="P263" s="2" t="s">
        <v>41</v>
      </c>
      <c r="Q263" s="2"/>
      <c r="R263" s="4" t="s">
        <v>30</v>
      </c>
      <c r="S263" s="5" t="n">
        <v>0</v>
      </c>
      <c r="T263" s="2"/>
    </row>
    <row r="264" customFormat="false" ht="15" hidden="false" customHeight="false" outlineLevel="0" collapsed="false">
      <c r="A264" s="2" t="s">
        <v>1108</v>
      </c>
      <c r="B264" s="3" t="n">
        <v>45962</v>
      </c>
      <c r="C264" s="3" t="n">
        <v>45962</v>
      </c>
      <c r="D264" s="2" t="s">
        <v>21</v>
      </c>
      <c r="E264" s="4" t="s">
        <v>33</v>
      </c>
      <c r="F264" s="5" t="n">
        <v>36400</v>
      </c>
      <c r="G264" s="6" t="n">
        <f aca="false">G263+IF(E264="Credit",F264,IF(E264="Debit",-F264,0))</f>
        <v>5191741</v>
      </c>
      <c r="H264" s="4" t="s">
        <v>115</v>
      </c>
      <c r="I264" s="2" t="s">
        <v>920</v>
      </c>
      <c r="J264" s="2" t="s">
        <v>920</v>
      </c>
      <c r="K264" s="4" t="s">
        <v>631</v>
      </c>
      <c r="L264" s="2" t="s">
        <v>632</v>
      </c>
      <c r="M264" s="4" t="s">
        <v>38</v>
      </c>
      <c r="N264" s="2" t="s">
        <v>1109</v>
      </c>
      <c r="O264" s="2" t="s">
        <v>169</v>
      </c>
      <c r="P264" s="2" t="s">
        <v>170</v>
      </c>
      <c r="Q264" s="2"/>
      <c r="R264" s="4" t="s">
        <v>30</v>
      </c>
      <c r="S264" s="5" t="n">
        <v>0</v>
      </c>
      <c r="T264" s="2"/>
    </row>
    <row r="265" customFormat="false" ht="15" hidden="false" customHeight="false" outlineLevel="0" collapsed="false">
      <c r="A265" s="2" t="s">
        <v>1110</v>
      </c>
      <c r="B265" s="3" t="n">
        <v>45963</v>
      </c>
      <c r="C265" s="3" t="n">
        <v>45963</v>
      </c>
      <c r="D265" s="2" t="s">
        <v>21</v>
      </c>
      <c r="E265" s="4" t="s">
        <v>33</v>
      </c>
      <c r="F265" s="5" t="n">
        <v>39200</v>
      </c>
      <c r="G265" s="6" t="n">
        <f aca="false">G264+IF(E265="Credit",F265,IF(E265="Debit",-F265,0))</f>
        <v>5152541</v>
      </c>
      <c r="H265" s="4" t="s">
        <v>53</v>
      </c>
      <c r="I265" s="2" t="s">
        <v>1111</v>
      </c>
      <c r="J265" s="2" t="s">
        <v>1112</v>
      </c>
      <c r="K265" s="4" t="s">
        <v>664</v>
      </c>
      <c r="L265" s="2" t="s">
        <v>665</v>
      </c>
      <c r="M265" s="4" t="s">
        <v>38</v>
      </c>
      <c r="N265" s="2" t="s">
        <v>1113</v>
      </c>
      <c r="O265" s="2" t="s">
        <v>160</v>
      </c>
      <c r="P265" s="2" t="s">
        <v>1114</v>
      </c>
      <c r="Q265" s="2" t="s">
        <v>1115</v>
      </c>
      <c r="R265" s="4" t="s">
        <v>30</v>
      </c>
      <c r="S265" s="5" t="n">
        <v>4200</v>
      </c>
      <c r="T265" s="2"/>
    </row>
    <row r="266" customFormat="false" ht="15" hidden="false" customHeight="false" outlineLevel="0" collapsed="false">
      <c r="A266" s="2" t="s">
        <v>1116</v>
      </c>
      <c r="B266" s="3" t="n">
        <v>45964</v>
      </c>
      <c r="C266" s="3" t="n">
        <v>45964</v>
      </c>
      <c r="D266" s="2" t="s">
        <v>21</v>
      </c>
      <c r="E266" s="4" t="s">
        <v>33</v>
      </c>
      <c r="F266" s="5" t="n">
        <v>100700</v>
      </c>
      <c r="G266" s="6" t="n">
        <f aca="false">G265+IF(E266="Credit",F266,IF(E266="Debit",-F266,0))</f>
        <v>5051841</v>
      </c>
      <c r="H266" s="4" t="s">
        <v>43</v>
      </c>
      <c r="I266" s="2" t="s">
        <v>44</v>
      </c>
      <c r="J266" s="2" t="s">
        <v>1117</v>
      </c>
      <c r="K266" s="4" t="s">
        <v>46</v>
      </c>
      <c r="L266" s="2" t="s">
        <v>47</v>
      </c>
      <c r="M266" s="4" t="s">
        <v>38</v>
      </c>
      <c r="N266" s="2" t="s">
        <v>1118</v>
      </c>
      <c r="O266" s="2" t="s">
        <v>49</v>
      </c>
      <c r="P266" s="2" t="s">
        <v>50</v>
      </c>
      <c r="Q266" s="2"/>
      <c r="R266" s="4" t="s">
        <v>30</v>
      </c>
      <c r="S266" s="5" t="n">
        <v>0</v>
      </c>
      <c r="T266" s="2"/>
    </row>
    <row r="267" customFormat="false" ht="15" hidden="false" customHeight="false" outlineLevel="0" collapsed="false">
      <c r="A267" s="2" t="s">
        <v>1119</v>
      </c>
      <c r="B267" s="3" t="n">
        <v>45965</v>
      </c>
      <c r="C267" s="3" t="n">
        <v>45965</v>
      </c>
      <c r="D267" s="2" t="s">
        <v>21</v>
      </c>
      <c r="E267" s="4" t="s">
        <v>33</v>
      </c>
      <c r="F267" s="5" t="n">
        <v>2700</v>
      </c>
      <c r="G267" s="6" t="n">
        <f aca="false">G266+IF(E267="Credit",F267,IF(E267="Debit",-F267,0))</f>
        <v>5049141</v>
      </c>
      <c r="H267" s="4" t="s">
        <v>99</v>
      </c>
      <c r="I267" s="2" t="s">
        <v>155</v>
      </c>
      <c r="J267" s="2" t="s">
        <v>1120</v>
      </c>
      <c r="K267" s="4" t="s">
        <v>157</v>
      </c>
      <c r="L267" s="2" t="s">
        <v>158</v>
      </c>
      <c r="M267" s="4" t="s">
        <v>38</v>
      </c>
      <c r="N267" s="2" t="s">
        <v>1121</v>
      </c>
      <c r="O267" s="2" t="s">
        <v>160</v>
      </c>
      <c r="P267" s="2" t="s">
        <v>333</v>
      </c>
      <c r="Q267" s="2" t="s">
        <v>1122</v>
      </c>
      <c r="R267" s="4" t="s">
        <v>30</v>
      </c>
      <c r="S267" s="5" t="n">
        <v>412</v>
      </c>
      <c r="T267" s="2" t="s">
        <v>188</v>
      </c>
    </row>
    <row r="268" customFormat="false" ht="15" hidden="false" customHeight="false" outlineLevel="0" collapsed="false">
      <c r="A268" s="2" t="s">
        <v>1123</v>
      </c>
      <c r="B268" s="3" t="n">
        <v>45966</v>
      </c>
      <c r="C268" s="3" t="n">
        <v>45966</v>
      </c>
      <c r="D268" s="2" t="s">
        <v>21</v>
      </c>
      <c r="E268" s="4" t="s">
        <v>52</v>
      </c>
      <c r="F268" s="5" t="n">
        <v>183136</v>
      </c>
      <c r="G268" s="6" t="n">
        <f aca="false">G267+IF(E268="Credit",F268,IF(E268="Debit",-F268,0))</f>
        <v>5232277</v>
      </c>
      <c r="H268" s="4" t="s">
        <v>53</v>
      </c>
      <c r="I268" s="2" t="s">
        <v>1124</v>
      </c>
      <c r="J268" s="2" t="s">
        <v>1125</v>
      </c>
      <c r="K268" s="4" t="s">
        <v>447</v>
      </c>
      <c r="L268" s="2" t="s">
        <v>448</v>
      </c>
      <c r="M268" s="4" t="s">
        <v>58</v>
      </c>
      <c r="N268" s="2" t="s">
        <v>1126</v>
      </c>
      <c r="O268" s="2" t="s">
        <v>60</v>
      </c>
      <c r="P268" s="2" t="s">
        <v>354</v>
      </c>
      <c r="Q268" s="2" t="s">
        <v>1127</v>
      </c>
      <c r="R268" s="4" t="s">
        <v>30</v>
      </c>
      <c r="S268" s="5" t="n">
        <v>27936</v>
      </c>
      <c r="T268" s="2" t="s">
        <v>413</v>
      </c>
    </row>
    <row r="269" customFormat="false" ht="15" hidden="false" customHeight="false" outlineLevel="0" collapsed="false">
      <c r="A269" s="2" t="s">
        <v>1128</v>
      </c>
      <c r="B269" s="3" t="n">
        <v>45966</v>
      </c>
      <c r="C269" s="3" t="n">
        <v>45966</v>
      </c>
      <c r="D269" s="2" t="s">
        <v>21</v>
      </c>
      <c r="E269" s="4" t="s">
        <v>33</v>
      </c>
      <c r="F269" s="5" t="n">
        <v>145000</v>
      </c>
      <c r="G269" s="6" t="n">
        <f aca="false">G268+IF(E269="Credit",F269,IF(E269="Debit",-F269,0))</f>
        <v>5087277</v>
      </c>
      <c r="H269" s="4" t="s">
        <v>64</v>
      </c>
      <c r="I269" s="2" t="s">
        <v>65</v>
      </c>
      <c r="J269" s="2" t="s">
        <v>1129</v>
      </c>
      <c r="K269" s="4" t="s">
        <v>67</v>
      </c>
      <c r="L269" s="2" t="s">
        <v>68</v>
      </c>
      <c r="M269" s="4" t="s">
        <v>69</v>
      </c>
      <c r="N269" s="2" t="s">
        <v>1130</v>
      </c>
      <c r="O269" s="2" t="s">
        <v>71</v>
      </c>
      <c r="P269" s="2" t="s">
        <v>72</v>
      </c>
      <c r="Q269" s="2"/>
      <c r="R269" s="4" t="s">
        <v>30</v>
      </c>
      <c r="S269" s="5" t="n">
        <v>0</v>
      </c>
      <c r="T269" s="2"/>
    </row>
    <row r="270" customFormat="false" ht="15" hidden="false" customHeight="false" outlineLevel="0" collapsed="false">
      <c r="A270" s="2" t="s">
        <v>1131</v>
      </c>
      <c r="B270" s="3" t="n">
        <v>45967</v>
      </c>
      <c r="C270" s="3" t="n">
        <v>45967</v>
      </c>
      <c r="D270" s="2" t="s">
        <v>21</v>
      </c>
      <c r="E270" s="4" t="s">
        <v>33</v>
      </c>
      <c r="F270" s="5" t="n">
        <v>9600</v>
      </c>
      <c r="G270" s="6" t="n">
        <f aca="false">G269+IF(E270="Credit",F270,IF(E270="Debit",-F270,0))</f>
        <v>5077677</v>
      </c>
      <c r="H270" s="4" t="s">
        <v>74</v>
      </c>
      <c r="I270" s="2" t="s">
        <v>124</v>
      </c>
      <c r="J270" s="2" t="s">
        <v>125</v>
      </c>
      <c r="K270" s="4" t="s">
        <v>126</v>
      </c>
      <c r="L270" s="2" t="s">
        <v>127</v>
      </c>
      <c r="M270" s="4" t="s">
        <v>38</v>
      </c>
      <c r="N270" s="2" t="s">
        <v>1132</v>
      </c>
      <c r="O270" s="2" t="s">
        <v>129</v>
      </c>
      <c r="P270" s="2" t="s">
        <v>130</v>
      </c>
      <c r="Q270" s="2"/>
      <c r="R270" s="4" t="s">
        <v>30</v>
      </c>
      <c r="S270" s="5" t="n">
        <v>0</v>
      </c>
      <c r="T270" s="2"/>
    </row>
    <row r="271" customFormat="false" ht="15" hidden="false" customHeight="false" outlineLevel="0" collapsed="false">
      <c r="A271" s="2" t="s">
        <v>1133</v>
      </c>
      <c r="B271" s="3" t="n">
        <v>45968</v>
      </c>
      <c r="C271" s="3" t="n">
        <v>45968</v>
      </c>
      <c r="D271" s="2" t="s">
        <v>21</v>
      </c>
      <c r="E271" s="4" t="s">
        <v>52</v>
      </c>
      <c r="F271" s="5" t="n">
        <v>135700</v>
      </c>
      <c r="G271" s="6" t="n">
        <f aca="false">G270+IF(E271="Credit",F271,IF(E271="Debit",-F271,0))</f>
        <v>5213377</v>
      </c>
      <c r="H271" s="4" t="s">
        <v>74</v>
      </c>
      <c r="I271" s="2" t="s">
        <v>1134</v>
      </c>
      <c r="J271" s="2" t="s">
        <v>1135</v>
      </c>
      <c r="K271" s="4" t="s">
        <v>1136</v>
      </c>
      <c r="L271" s="2" t="s">
        <v>1137</v>
      </c>
      <c r="M271" s="4" t="s">
        <v>58</v>
      </c>
      <c r="N271" s="2" t="s">
        <v>1138</v>
      </c>
      <c r="O271" s="2" t="s">
        <v>60</v>
      </c>
      <c r="P271" s="2" t="s">
        <v>1139</v>
      </c>
      <c r="Q271" s="2" t="s">
        <v>1140</v>
      </c>
      <c r="R271" s="4" t="s">
        <v>30</v>
      </c>
      <c r="S271" s="5" t="n">
        <v>20700</v>
      </c>
      <c r="T271" s="2" t="s">
        <v>1141</v>
      </c>
    </row>
    <row r="272" customFormat="false" ht="15" hidden="false" customHeight="false" outlineLevel="0" collapsed="false">
      <c r="A272" s="2" t="s">
        <v>1142</v>
      </c>
      <c r="B272" s="3" t="n">
        <v>45968</v>
      </c>
      <c r="C272" s="3" t="n">
        <v>45968</v>
      </c>
      <c r="D272" s="2" t="s">
        <v>21</v>
      </c>
      <c r="E272" s="4" t="s">
        <v>52</v>
      </c>
      <c r="F272" s="5" t="n">
        <v>347392</v>
      </c>
      <c r="G272" s="6" t="n">
        <f aca="false">G271+IF(E272="Credit",F272,IF(E272="Debit",-F272,0))</f>
        <v>5560769</v>
      </c>
      <c r="H272" s="4" t="s">
        <v>74</v>
      </c>
      <c r="I272" s="2" t="s">
        <v>487</v>
      </c>
      <c r="J272" s="2" t="s">
        <v>1143</v>
      </c>
      <c r="K272" s="4" t="s">
        <v>474</v>
      </c>
      <c r="L272" s="2" t="s">
        <v>475</v>
      </c>
      <c r="M272" s="4" t="s">
        <v>58</v>
      </c>
      <c r="N272" s="2" t="s">
        <v>1144</v>
      </c>
      <c r="O272" s="2" t="s">
        <v>60</v>
      </c>
      <c r="P272" s="2" t="s">
        <v>1139</v>
      </c>
      <c r="Q272" s="2" t="s">
        <v>1145</v>
      </c>
      <c r="R272" s="4" t="s">
        <v>30</v>
      </c>
      <c r="S272" s="5" t="n">
        <v>52992</v>
      </c>
      <c r="T272" s="2"/>
    </row>
    <row r="273" customFormat="false" ht="15" hidden="false" customHeight="false" outlineLevel="0" collapsed="false">
      <c r="A273" s="2" t="s">
        <v>1146</v>
      </c>
      <c r="B273" s="3" t="n">
        <v>45968</v>
      </c>
      <c r="C273" s="3" t="n">
        <v>45968</v>
      </c>
      <c r="D273" s="2" t="s">
        <v>21</v>
      </c>
      <c r="E273" s="4" t="s">
        <v>33</v>
      </c>
      <c r="F273" s="5" t="n">
        <v>12000</v>
      </c>
      <c r="G273" s="6" t="n">
        <f aca="false">G272+IF(E273="Credit",F273,IF(E273="Debit",-F273,0))</f>
        <v>5548769</v>
      </c>
      <c r="H273" s="4" t="s">
        <v>64</v>
      </c>
      <c r="I273" s="2" t="s">
        <v>83</v>
      </c>
      <c r="J273" s="2" t="s">
        <v>1147</v>
      </c>
      <c r="K273" s="4" t="s">
        <v>85</v>
      </c>
      <c r="L273" s="2" t="s">
        <v>86</v>
      </c>
      <c r="M273" s="4" t="s">
        <v>38</v>
      </c>
      <c r="N273" s="2" t="s">
        <v>1148</v>
      </c>
      <c r="O273" s="2" t="s">
        <v>88</v>
      </c>
      <c r="P273" s="2" t="s">
        <v>89</v>
      </c>
      <c r="Q273" s="2"/>
      <c r="R273" s="4" t="s">
        <v>30</v>
      </c>
      <c r="S273" s="5" t="n">
        <v>0</v>
      </c>
      <c r="T273" s="2"/>
    </row>
    <row r="274" customFormat="false" ht="15" hidden="false" customHeight="false" outlineLevel="0" collapsed="false">
      <c r="A274" s="2" t="s">
        <v>1149</v>
      </c>
      <c r="B274" s="3" t="n">
        <v>45968</v>
      </c>
      <c r="C274" s="3" t="n">
        <v>45968</v>
      </c>
      <c r="D274" s="2" t="s">
        <v>21</v>
      </c>
      <c r="E274" s="4" t="s">
        <v>33</v>
      </c>
      <c r="F274" s="5" t="n">
        <v>31100</v>
      </c>
      <c r="G274" s="6" t="n">
        <f aca="false">G273+IF(E274="Credit",F274,IF(E274="Debit",-F274,0))</f>
        <v>5517669</v>
      </c>
      <c r="H274" s="4" t="s">
        <v>34</v>
      </c>
      <c r="I274" s="2" t="s">
        <v>742</v>
      </c>
      <c r="J274" s="2" t="s">
        <v>743</v>
      </c>
      <c r="K274" s="4" t="s">
        <v>376</v>
      </c>
      <c r="L274" s="2" t="s">
        <v>377</v>
      </c>
      <c r="M274" s="4" t="s">
        <v>38</v>
      </c>
      <c r="N274" s="2" t="s">
        <v>1150</v>
      </c>
      <c r="O274" s="2" t="s">
        <v>129</v>
      </c>
      <c r="P274" s="2" t="s">
        <v>130</v>
      </c>
      <c r="Q274" s="2"/>
      <c r="R274" s="4" t="s">
        <v>30</v>
      </c>
      <c r="S274" s="5" t="n">
        <v>0</v>
      </c>
      <c r="T274" s="2"/>
    </row>
    <row r="275" customFormat="false" ht="15" hidden="false" customHeight="false" outlineLevel="0" collapsed="false">
      <c r="A275" s="2" t="s">
        <v>1151</v>
      </c>
      <c r="B275" s="3" t="n">
        <v>45970</v>
      </c>
      <c r="C275" s="3" t="n">
        <v>45970</v>
      </c>
      <c r="D275" s="2" t="s">
        <v>21</v>
      </c>
      <c r="E275" s="4" t="s">
        <v>52</v>
      </c>
      <c r="F275" s="5" t="n">
        <v>104500</v>
      </c>
      <c r="G275" s="6" t="n">
        <f aca="false">G274+IF(E275="Credit",F275,IF(E275="Debit",-F275,0))</f>
        <v>5622169</v>
      </c>
      <c r="H275" s="4" t="s">
        <v>53</v>
      </c>
      <c r="I275" s="2" t="s">
        <v>1152</v>
      </c>
      <c r="J275" s="2" t="s">
        <v>55</v>
      </c>
      <c r="K275" s="4" t="s">
        <v>201</v>
      </c>
      <c r="L275" s="2" t="s">
        <v>202</v>
      </c>
      <c r="M275" s="4" t="s">
        <v>58</v>
      </c>
      <c r="N275" s="2" t="s">
        <v>1153</v>
      </c>
      <c r="O275" s="2" t="s">
        <v>60</v>
      </c>
      <c r="P275" s="2" t="s">
        <v>61</v>
      </c>
      <c r="Q275" s="2"/>
      <c r="R275" s="4" t="s">
        <v>30</v>
      </c>
      <c r="S275" s="5" t="n">
        <v>0</v>
      </c>
      <c r="T275" s="2" t="s">
        <v>62</v>
      </c>
    </row>
    <row r="276" customFormat="false" ht="15" hidden="false" customHeight="false" outlineLevel="0" collapsed="false">
      <c r="A276" s="2" t="s">
        <v>1154</v>
      </c>
      <c r="B276" s="3" t="n">
        <v>45971</v>
      </c>
      <c r="C276" s="3" t="n">
        <v>45971</v>
      </c>
      <c r="D276" s="2" t="s">
        <v>21</v>
      </c>
      <c r="E276" s="4" t="s">
        <v>33</v>
      </c>
      <c r="F276" s="5" t="n">
        <v>54700</v>
      </c>
      <c r="G276" s="6" t="n">
        <f aca="false">G275+IF(E276="Credit",F276,IF(E276="Debit",-F276,0))</f>
        <v>5567469</v>
      </c>
      <c r="H276" s="4" t="s">
        <v>115</v>
      </c>
      <c r="I276" s="2" t="s">
        <v>116</v>
      </c>
      <c r="J276" s="2" t="s">
        <v>1155</v>
      </c>
      <c r="K276" s="4" t="s">
        <v>118</v>
      </c>
      <c r="L276" s="2" t="s">
        <v>119</v>
      </c>
      <c r="M276" s="4" t="s">
        <v>38</v>
      </c>
      <c r="N276" s="2" t="s">
        <v>1156</v>
      </c>
      <c r="O276" s="2" t="s">
        <v>121</v>
      </c>
      <c r="P276" s="2" t="s">
        <v>122</v>
      </c>
      <c r="Q276" s="2"/>
      <c r="R276" s="4" t="s">
        <v>30</v>
      </c>
      <c r="S276" s="5" t="n">
        <v>0</v>
      </c>
      <c r="T276" s="2"/>
    </row>
    <row r="277" customFormat="false" ht="15" hidden="false" customHeight="false" outlineLevel="0" collapsed="false">
      <c r="A277" s="2" t="s">
        <v>1157</v>
      </c>
      <c r="B277" s="3" t="n">
        <v>45973</v>
      </c>
      <c r="C277" s="3" t="n">
        <v>45973</v>
      </c>
      <c r="D277" s="2" t="s">
        <v>21</v>
      </c>
      <c r="E277" s="4" t="s">
        <v>33</v>
      </c>
      <c r="F277" s="5" t="n">
        <v>14750</v>
      </c>
      <c r="G277" s="6" t="n">
        <f aca="false">G276+IF(E277="Credit",F277,IF(E277="Debit",-F277,0))</f>
        <v>5552719</v>
      </c>
      <c r="H277" s="4" t="s">
        <v>99</v>
      </c>
      <c r="I277" s="2" t="s">
        <v>1158</v>
      </c>
      <c r="J277" s="2" t="s">
        <v>1159</v>
      </c>
      <c r="K277" s="4" t="s">
        <v>1160</v>
      </c>
      <c r="L277" s="2" t="s">
        <v>1161</v>
      </c>
      <c r="M277" s="4" t="s">
        <v>167</v>
      </c>
      <c r="N277" s="2" t="s">
        <v>1162</v>
      </c>
      <c r="O277" s="2" t="s">
        <v>160</v>
      </c>
      <c r="P277" s="2" t="s">
        <v>1163</v>
      </c>
      <c r="Q277" s="2" t="s">
        <v>1164</v>
      </c>
      <c r="R277" s="4" t="s">
        <v>30</v>
      </c>
      <c r="S277" s="5" t="n">
        <v>2250</v>
      </c>
      <c r="T277" s="2" t="s">
        <v>1165</v>
      </c>
    </row>
    <row r="278" customFormat="false" ht="15" hidden="false" customHeight="false" outlineLevel="0" collapsed="false">
      <c r="A278" s="2" t="s">
        <v>1166</v>
      </c>
      <c r="B278" s="3" t="n">
        <v>45973</v>
      </c>
      <c r="C278" s="3" t="n">
        <v>45973</v>
      </c>
      <c r="D278" s="2" t="s">
        <v>21</v>
      </c>
      <c r="E278" s="4" t="s">
        <v>33</v>
      </c>
      <c r="F278" s="5" t="n">
        <v>13700</v>
      </c>
      <c r="G278" s="6" t="n">
        <f aca="false">G277+IF(E278="Credit",F278,IF(E278="Debit",-F278,0))</f>
        <v>5539019</v>
      </c>
      <c r="H278" s="4" t="s">
        <v>115</v>
      </c>
      <c r="I278" s="2" t="s">
        <v>561</v>
      </c>
      <c r="J278" s="2" t="s">
        <v>562</v>
      </c>
      <c r="K278" s="4" t="s">
        <v>126</v>
      </c>
      <c r="L278" s="2" t="s">
        <v>127</v>
      </c>
      <c r="M278" s="4" t="s">
        <v>38</v>
      </c>
      <c r="N278" s="2" t="s">
        <v>1167</v>
      </c>
      <c r="O278" s="2" t="s">
        <v>129</v>
      </c>
      <c r="P278" s="2" t="s">
        <v>130</v>
      </c>
      <c r="Q278" s="2"/>
      <c r="R278" s="4" t="s">
        <v>30</v>
      </c>
      <c r="S278" s="5" t="n">
        <v>0</v>
      </c>
      <c r="T278" s="2"/>
    </row>
    <row r="279" customFormat="false" ht="15" hidden="false" customHeight="false" outlineLevel="0" collapsed="false">
      <c r="A279" s="2" t="s">
        <v>1168</v>
      </c>
      <c r="B279" s="3" t="n">
        <v>45973</v>
      </c>
      <c r="C279" s="3" t="n">
        <v>45973</v>
      </c>
      <c r="D279" s="2" t="s">
        <v>21</v>
      </c>
      <c r="E279" s="4" t="s">
        <v>33</v>
      </c>
      <c r="F279" s="5" t="n">
        <v>11300</v>
      </c>
      <c r="G279" s="6" t="n">
        <f aca="false">G278+IF(E279="Credit",F279,IF(E279="Debit",-F279,0))</f>
        <v>5527719</v>
      </c>
      <c r="H279" s="4" t="s">
        <v>74</v>
      </c>
      <c r="I279" s="2" t="s">
        <v>290</v>
      </c>
      <c r="J279" s="2" t="s">
        <v>290</v>
      </c>
      <c r="K279" s="4" t="s">
        <v>36</v>
      </c>
      <c r="L279" s="2" t="s">
        <v>37</v>
      </c>
      <c r="M279" s="4" t="s">
        <v>38</v>
      </c>
      <c r="N279" s="2" t="s">
        <v>1169</v>
      </c>
      <c r="O279" s="2" t="s">
        <v>40</v>
      </c>
      <c r="P279" s="2" t="s">
        <v>41</v>
      </c>
      <c r="Q279" s="2"/>
      <c r="R279" s="4" t="s">
        <v>30</v>
      </c>
      <c r="S279" s="5" t="n">
        <v>0</v>
      </c>
      <c r="T279" s="2"/>
    </row>
    <row r="280" customFormat="false" ht="15" hidden="false" customHeight="false" outlineLevel="0" collapsed="false">
      <c r="A280" s="2" t="s">
        <v>1170</v>
      </c>
      <c r="B280" s="3" t="n">
        <v>45973</v>
      </c>
      <c r="C280" s="3" t="n">
        <v>45973</v>
      </c>
      <c r="D280" s="2" t="s">
        <v>21</v>
      </c>
      <c r="E280" s="4" t="s">
        <v>33</v>
      </c>
      <c r="F280" s="5" t="n">
        <v>14700</v>
      </c>
      <c r="G280" s="6" t="n">
        <f aca="false">G279+IF(E280="Credit",F280,IF(E280="Debit",-F280,0))</f>
        <v>5513019</v>
      </c>
      <c r="H280" s="4" t="s">
        <v>115</v>
      </c>
      <c r="I280" s="2" t="s">
        <v>1171</v>
      </c>
      <c r="J280" s="2" t="s">
        <v>1171</v>
      </c>
      <c r="K280" s="4" t="s">
        <v>133</v>
      </c>
      <c r="L280" s="2" t="s">
        <v>134</v>
      </c>
      <c r="M280" s="4" t="s">
        <v>38</v>
      </c>
      <c r="N280" s="2" t="s">
        <v>1172</v>
      </c>
      <c r="O280" s="2" t="s">
        <v>136</v>
      </c>
      <c r="P280" s="2" t="s">
        <v>137</v>
      </c>
      <c r="Q280" s="2"/>
      <c r="R280" s="4" t="s">
        <v>30</v>
      </c>
      <c r="S280" s="5" t="n">
        <v>0</v>
      </c>
      <c r="T280" s="2"/>
    </row>
    <row r="281" customFormat="false" ht="15" hidden="false" customHeight="false" outlineLevel="0" collapsed="false">
      <c r="A281" s="2" t="s">
        <v>1173</v>
      </c>
      <c r="B281" s="3" t="n">
        <v>45975</v>
      </c>
      <c r="C281" s="3" t="n">
        <v>45975</v>
      </c>
      <c r="D281" s="2" t="s">
        <v>21</v>
      </c>
      <c r="E281" s="4" t="s">
        <v>33</v>
      </c>
      <c r="F281" s="5" t="n">
        <v>29100</v>
      </c>
      <c r="G281" s="6" t="n">
        <f aca="false">G280+IF(E281="Credit",F281,IF(E281="Debit",-F281,0))</f>
        <v>5483919</v>
      </c>
      <c r="H281" s="4" t="s">
        <v>99</v>
      </c>
      <c r="I281" s="2" t="s">
        <v>139</v>
      </c>
      <c r="J281" s="2" t="s">
        <v>1174</v>
      </c>
      <c r="K281" s="4" t="s">
        <v>141</v>
      </c>
      <c r="L281" s="2" t="s">
        <v>142</v>
      </c>
      <c r="M281" s="4" t="s">
        <v>143</v>
      </c>
      <c r="N281" s="2" t="s">
        <v>1175</v>
      </c>
      <c r="O281" s="2" t="s">
        <v>145</v>
      </c>
      <c r="P281" s="2" t="s">
        <v>146</v>
      </c>
      <c r="Q281" s="2"/>
      <c r="R281" s="4" t="s">
        <v>30</v>
      </c>
      <c r="S281" s="5" t="n">
        <v>0</v>
      </c>
      <c r="T281" s="2"/>
    </row>
    <row r="282" customFormat="false" ht="15" hidden="false" customHeight="false" outlineLevel="0" collapsed="false">
      <c r="A282" s="2" t="s">
        <v>1176</v>
      </c>
      <c r="B282" s="3" t="n">
        <v>45976</v>
      </c>
      <c r="C282" s="3" t="n">
        <v>45976</v>
      </c>
      <c r="D282" s="2" t="s">
        <v>21</v>
      </c>
      <c r="E282" s="4" t="s">
        <v>33</v>
      </c>
      <c r="F282" s="5" t="n">
        <v>28470</v>
      </c>
      <c r="G282" s="6" t="n">
        <f aca="false">G281+IF(E282="Credit",F282,IF(E282="Debit",-F282,0))</f>
        <v>5455449</v>
      </c>
      <c r="H282" s="4" t="s">
        <v>64</v>
      </c>
      <c r="I282" s="2" t="s">
        <v>148</v>
      </c>
      <c r="J282" s="2" t="s">
        <v>1177</v>
      </c>
      <c r="K282" s="4" t="s">
        <v>150</v>
      </c>
      <c r="L282" s="2" t="s">
        <v>151</v>
      </c>
      <c r="M282" s="4" t="s">
        <v>38</v>
      </c>
      <c r="N282" s="2" t="s">
        <v>1178</v>
      </c>
      <c r="O282" s="2" t="s">
        <v>88</v>
      </c>
      <c r="P282" s="2" t="s">
        <v>153</v>
      </c>
      <c r="Q282" s="2"/>
      <c r="R282" s="4" t="s">
        <v>30</v>
      </c>
      <c r="S282" s="5" t="n">
        <v>0</v>
      </c>
      <c r="T282" s="2"/>
    </row>
    <row r="283" customFormat="false" ht="15" hidden="false" customHeight="false" outlineLevel="0" collapsed="false">
      <c r="A283" s="2" t="s">
        <v>1179</v>
      </c>
      <c r="B283" s="3" t="n">
        <v>45978</v>
      </c>
      <c r="C283" s="3" t="n">
        <v>45978</v>
      </c>
      <c r="D283" s="2" t="s">
        <v>21</v>
      </c>
      <c r="E283" s="4" t="s">
        <v>52</v>
      </c>
      <c r="F283" s="5" t="n">
        <v>78666</v>
      </c>
      <c r="G283" s="6" t="n">
        <f aca="false">G282+IF(E283="Credit",F283,IF(E283="Debit",-F283,0))</f>
        <v>5534115</v>
      </c>
      <c r="H283" s="4" t="s">
        <v>74</v>
      </c>
      <c r="I283" s="2" t="s">
        <v>979</v>
      </c>
      <c r="J283" s="2" t="s">
        <v>1180</v>
      </c>
      <c r="K283" s="4" t="s">
        <v>947</v>
      </c>
      <c r="L283" s="2" t="s">
        <v>948</v>
      </c>
      <c r="M283" s="4" t="s">
        <v>58</v>
      </c>
      <c r="N283" s="2" t="s">
        <v>1181</v>
      </c>
      <c r="O283" s="2" t="s">
        <v>60</v>
      </c>
      <c r="P283" s="2" t="s">
        <v>1033</v>
      </c>
      <c r="Q283" s="2" t="s">
        <v>1182</v>
      </c>
      <c r="R283" s="4" t="s">
        <v>30</v>
      </c>
      <c r="S283" s="5" t="n">
        <v>12000</v>
      </c>
      <c r="T283" s="2" t="s">
        <v>1183</v>
      </c>
    </row>
    <row r="284" customFormat="false" ht="15" hidden="false" customHeight="false" outlineLevel="0" collapsed="false">
      <c r="A284" s="2" t="s">
        <v>1184</v>
      </c>
      <c r="B284" s="3" t="n">
        <v>45980</v>
      </c>
      <c r="C284" s="3" t="n">
        <v>45980</v>
      </c>
      <c r="D284" s="2" t="s">
        <v>21</v>
      </c>
      <c r="E284" s="4" t="s">
        <v>33</v>
      </c>
      <c r="F284" s="5" t="n">
        <v>1380</v>
      </c>
      <c r="G284" s="6" t="n">
        <f aca="false">G283+IF(E284="Credit",F284,IF(E284="Debit",-F284,0))</f>
        <v>5532735</v>
      </c>
      <c r="H284" s="4" t="s">
        <v>53</v>
      </c>
      <c r="I284" s="2" t="s">
        <v>214</v>
      </c>
      <c r="J284" s="2" t="s">
        <v>1185</v>
      </c>
      <c r="K284" s="4" t="s">
        <v>67</v>
      </c>
      <c r="L284" s="2" t="s">
        <v>68</v>
      </c>
      <c r="M284" s="4" t="s">
        <v>69</v>
      </c>
      <c r="N284" s="2" t="s">
        <v>1186</v>
      </c>
      <c r="O284" s="2" t="s">
        <v>96</v>
      </c>
      <c r="P284" s="2" t="s">
        <v>217</v>
      </c>
      <c r="Q284" s="2"/>
      <c r="R284" s="4" t="s">
        <v>30</v>
      </c>
      <c r="S284" s="5" t="n">
        <v>0</v>
      </c>
      <c r="T284" s="2"/>
    </row>
    <row r="285" customFormat="false" ht="15" hidden="false" customHeight="false" outlineLevel="0" collapsed="false">
      <c r="A285" s="2" t="s">
        <v>1187</v>
      </c>
      <c r="B285" s="3" t="n">
        <v>45981</v>
      </c>
      <c r="C285" s="3" t="n">
        <v>45981</v>
      </c>
      <c r="D285" s="2" t="s">
        <v>21</v>
      </c>
      <c r="E285" s="4" t="s">
        <v>33</v>
      </c>
      <c r="F285" s="5" t="n">
        <v>49200</v>
      </c>
      <c r="G285" s="6" t="n">
        <f aca="false">G284+IF(E285="Credit",F285,IF(E285="Debit",-F285,0))</f>
        <v>5483535</v>
      </c>
      <c r="H285" s="4" t="s">
        <v>99</v>
      </c>
      <c r="I285" s="2" t="s">
        <v>172</v>
      </c>
      <c r="J285" s="2" t="s">
        <v>1188</v>
      </c>
      <c r="K285" s="4" t="s">
        <v>174</v>
      </c>
      <c r="L285" s="2" t="s">
        <v>175</v>
      </c>
      <c r="M285" s="4" t="s">
        <v>143</v>
      </c>
      <c r="N285" s="2" t="s">
        <v>1189</v>
      </c>
      <c r="O285" s="2" t="s">
        <v>177</v>
      </c>
      <c r="P285" s="2" t="s">
        <v>178</v>
      </c>
      <c r="Q285" s="2"/>
      <c r="R285" s="4" t="s">
        <v>30</v>
      </c>
      <c r="S285" s="5" t="n">
        <v>0</v>
      </c>
      <c r="T285" s="2"/>
    </row>
    <row r="286" customFormat="false" ht="15" hidden="false" customHeight="false" outlineLevel="0" collapsed="false">
      <c r="A286" s="2" t="s">
        <v>1190</v>
      </c>
      <c r="B286" s="3" t="n">
        <v>45982</v>
      </c>
      <c r="C286" s="3" t="n">
        <v>45982</v>
      </c>
      <c r="D286" s="2" t="s">
        <v>21</v>
      </c>
      <c r="E286" s="4" t="s">
        <v>33</v>
      </c>
      <c r="F286" s="5" t="n">
        <v>36000</v>
      </c>
      <c r="G286" s="6" t="n">
        <f aca="false">G285+IF(E286="Credit",F286,IF(E286="Debit",-F286,0))</f>
        <v>5447535</v>
      </c>
      <c r="H286" s="4" t="s">
        <v>99</v>
      </c>
      <c r="I286" s="2" t="s">
        <v>905</v>
      </c>
      <c r="J286" s="2" t="s">
        <v>906</v>
      </c>
      <c r="K286" s="4" t="s">
        <v>907</v>
      </c>
      <c r="L286" s="2" t="s">
        <v>908</v>
      </c>
      <c r="M286" s="4" t="s">
        <v>167</v>
      </c>
      <c r="N286" s="2" t="s">
        <v>1191</v>
      </c>
      <c r="O286" s="2" t="s">
        <v>910</v>
      </c>
      <c r="P286" s="2" t="s">
        <v>911</v>
      </c>
      <c r="Q286" s="2"/>
      <c r="R286" s="4" t="s">
        <v>30</v>
      </c>
      <c r="S286" s="5" t="n">
        <v>0</v>
      </c>
      <c r="T286" s="2"/>
    </row>
    <row r="287" customFormat="false" ht="15" hidden="false" customHeight="false" outlineLevel="0" collapsed="false">
      <c r="A287" s="2" t="s">
        <v>1192</v>
      </c>
      <c r="B287" s="3" t="n">
        <v>45982</v>
      </c>
      <c r="C287" s="3" t="n">
        <v>45982</v>
      </c>
      <c r="D287" s="2" t="s">
        <v>21</v>
      </c>
      <c r="E287" s="4" t="s">
        <v>33</v>
      </c>
      <c r="F287" s="5" t="n">
        <v>320</v>
      </c>
      <c r="G287" s="6" t="n">
        <f aca="false">G286+IF(E287="Credit",F287,IF(E287="Debit",-F287,0))</f>
        <v>5447215</v>
      </c>
      <c r="H287" s="4" t="s">
        <v>53</v>
      </c>
      <c r="I287" s="2" t="s">
        <v>93</v>
      </c>
      <c r="J287" s="2" t="s">
        <v>94</v>
      </c>
      <c r="K287" s="4" t="s">
        <v>67</v>
      </c>
      <c r="L287" s="2" t="s">
        <v>68</v>
      </c>
      <c r="M287" s="4" t="s">
        <v>69</v>
      </c>
      <c r="N287" s="2" t="s">
        <v>1193</v>
      </c>
      <c r="O287" s="2" t="s">
        <v>96</v>
      </c>
      <c r="P287" s="2" t="s">
        <v>97</v>
      </c>
      <c r="Q287" s="2"/>
      <c r="R287" s="4" t="s">
        <v>30</v>
      </c>
      <c r="S287" s="5" t="n">
        <v>0</v>
      </c>
      <c r="T287" s="2"/>
    </row>
    <row r="288" customFormat="false" ht="15" hidden="false" customHeight="false" outlineLevel="0" collapsed="false">
      <c r="A288" s="2" t="s">
        <v>1194</v>
      </c>
      <c r="B288" s="3" t="n">
        <v>45982</v>
      </c>
      <c r="C288" s="3" t="n">
        <v>45982</v>
      </c>
      <c r="D288" s="2" t="s">
        <v>21</v>
      </c>
      <c r="E288" s="4" t="s">
        <v>33</v>
      </c>
      <c r="F288" s="5" t="n">
        <v>7700</v>
      </c>
      <c r="G288" s="6" t="n">
        <f aca="false">G287+IF(E288="Credit",F288,IF(E288="Debit",-F288,0))</f>
        <v>5439515</v>
      </c>
      <c r="H288" s="4" t="s">
        <v>289</v>
      </c>
      <c r="I288" s="2" t="s">
        <v>380</v>
      </c>
      <c r="J288" s="2" t="s">
        <v>381</v>
      </c>
      <c r="K288" s="4" t="s">
        <v>67</v>
      </c>
      <c r="L288" s="2" t="s">
        <v>68</v>
      </c>
      <c r="M288" s="4" t="s">
        <v>69</v>
      </c>
      <c r="N288" s="2" t="s">
        <v>1195</v>
      </c>
      <c r="O288" s="2" t="s">
        <v>383</v>
      </c>
      <c r="P288" s="2" t="s">
        <v>384</v>
      </c>
      <c r="Q288" s="2"/>
      <c r="R288" s="4" t="s">
        <v>30</v>
      </c>
      <c r="S288" s="5" t="n">
        <v>0</v>
      </c>
      <c r="T288" s="2"/>
    </row>
    <row r="289" customFormat="false" ht="15" hidden="false" customHeight="false" outlineLevel="0" collapsed="false">
      <c r="A289" s="2" t="s">
        <v>1196</v>
      </c>
      <c r="B289" s="3" t="n">
        <v>45983</v>
      </c>
      <c r="C289" s="3" t="n">
        <v>45983</v>
      </c>
      <c r="D289" s="2" t="s">
        <v>21</v>
      </c>
      <c r="E289" s="4" t="s">
        <v>33</v>
      </c>
      <c r="F289" s="5" t="n">
        <v>14750</v>
      </c>
      <c r="G289" s="6" t="n">
        <f aca="false">G288+IF(E289="Credit",F289,IF(E289="Debit",-F289,0))</f>
        <v>5424765</v>
      </c>
      <c r="H289" s="4" t="s">
        <v>180</v>
      </c>
      <c r="I289" s="2" t="s">
        <v>1197</v>
      </c>
      <c r="J289" s="2" t="s">
        <v>1198</v>
      </c>
      <c r="K289" s="4" t="s">
        <v>1160</v>
      </c>
      <c r="L289" s="2" t="s">
        <v>1161</v>
      </c>
      <c r="M289" s="4" t="s">
        <v>167</v>
      </c>
      <c r="N289" s="2" t="s">
        <v>1199</v>
      </c>
      <c r="O289" s="2" t="s">
        <v>160</v>
      </c>
      <c r="P289" s="2" t="s">
        <v>1163</v>
      </c>
      <c r="Q289" s="2" t="s">
        <v>1164</v>
      </c>
      <c r="R289" s="4" t="s">
        <v>30</v>
      </c>
      <c r="S289" s="5" t="n">
        <v>2250</v>
      </c>
      <c r="T289" s="2" t="s">
        <v>1200</v>
      </c>
    </row>
    <row r="290" customFormat="false" ht="15" hidden="false" customHeight="false" outlineLevel="0" collapsed="false">
      <c r="A290" s="2" t="s">
        <v>1201</v>
      </c>
      <c r="B290" s="3" t="n">
        <v>45983</v>
      </c>
      <c r="C290" s="3" t="n">
        <v>45983</v>
      </c>
      <c r="D290" s="2" t="s">
        <v>21</v>
      </c>
      <c r="E290" s="4" t="s">
        <v>33</v>
      </c>
      <c r="F290" s="5" t="n">
        <v>82600</v>
      </c>
      <c r="G290" s="6" t="n">
        <f aca="false">G289+IF(E290="Credit",F290,IF(E290="Debit",-F290,0))</f>
        <v>5342165</v>
      </c>
      <c r="H290" s="4" t="s">
        <v>180</v>
      </c>
      <c r="I290" s="2" t="s">
        <v>725</v>
      </c>
      <c r="J290" s="2" t="s">
        <v>1202</v>
      </c>
      <c r="K290" s="4" t="s">
        <v>376</v>
      </c>
      <c r="L290" s="2" t="s">
        <v>377</v>
      </c>
      <c r="M290" s="4" t="s">
        <v>38</v>
      </c>
      <c r="N290" s="2" t="s">
        <v>1203</v>
      </c>
      <c r="O290" s="2" t="s">
        <v>160</v>
      </c>
      <c r="P290" s="2" t="s">
        <v>1204</v>
      </c>
      <c r="Q290" s="2" t="s">
        <v>1205</v>
      </c>
      <c r="R290" s="4" t="s">
        <v>30</v>
      </c>
      <c r="S290" s="5" t="n">
        <v>12600</v>
      </c>
      <c r="T290" s="2"/>
    </row>
    <row r="291" customFormat="false" ht="15" hidden="false" customHeight="false" outlineLevel="0" collapsed="false">
      <c r="A291" s="2" t="s">
        <v>1206</v>
      </c>
      <c r="B291" s="3" t="n">
        <v>45984</v>
      </c>
      <c r="C291" s="3" t="n">
        <v>45984</v>
      </c>
      <c r="D291" s="2" t="s">
        <v>21</v>
      </c>
      <c r="E291" s="4" t="s">
        <v>52</v>
      </c>
      <c r="F291" s="5" t="n">
        <v>135700</v>
      </c>
      <c r="G291" s="6" t="n">
        <f aca="false">G290+IF(E291="Credit",F291,IF(E291="Debit",-F291,0))</f>
        <v>5477865</v>
      </c>
      <c r="H291" s="4" t="s">
        <v>99</v>
      </c>
      <c r="I291" s="2" t="s">
        <v>1207</v>
      </c>
      <c r="J291" s="2" t="s">
        <v>1208</v>
      </c>
      <c r="K291" s="4" t="s">
        <v>1136</v>
      </c>
      <c r="L291" s="2" t="s">
        <v>1137</v>
      </c>
      <c r="M291" s="4" t="s">
        <v>58</v>
      </c>
      <c r="N291" s="2" t="s">
        <v>1209</v>
      </c>
      <c r="O291" s="2" t="s">
        <v>60</v>
      </c>
      <c r="P291" s="2" t="s">
        <v>1139</v>
      </c>
      <c r="Q291" s="2" t="s">
        <v>1140</v>
      </c>
      <c r="R291" s="4" t="s">
        <v>30</v>
      </c>
      <c r="S291" s="5" t="n">
        <v>20700</v>
      </c>
      <c r="T291" s="2" t="s">
        <v>1210</v>
      </c>
    </row>
    <row r="292" customFormat="false" ht="15" hidden="false" customHeight="false" outlineLevel="0" collapsed="false">
      <c r="A292" s="2" t="s">
        <v>1211</v>
      </c>
      <c r="B292" s="3" t="n">
        <v>45984</v>
      </c>
      <c r="C292" s="3" t="n">
        <v>45984</v>
      </c>
      <c r="D292" s="2" t="s">
        <v>21</v>
      </c>
      <c r="E292" s="4" t="s">
        <v>52</v>
      </c>
      <c r="F292" s="5" t="n">
        <v>826000</v>
      </c>
      <c r="G292" s="6" t="n">
        <f aca="false">G291+IF(E292="Credit",F292,IF(E292="Debit",-F292,0))</f>
        <v>6303865</v>
      </c>
      <c r="H292" s="4" t="s">
        <v>74</v>
      </c>
      <c r="I292" s="2" t="s">
        <v>1212</v>
      </c>
      <c r="J292" s="2" t="s">
        <v>1213</v>
      </c>
      <c r="K292" s="4" t="s">
        <v>533</v>
      </c>
      <c r="L292" s="2" t="s">
        <v>534</v>
      </c>
      <c r="M292" s="4" t="s">
        <v>58</v>
      </c>
      <c r="N292" s="2" t="s">
        <v>1214</v>
      </c>
      <c r="O292" s="2" t="s">
        <v>60</v>
      </c>
      <c r="P292" s="2" t="s">
        <v>477</v>
      </c>
      <c r="Q292" s="2" t="s">
        <v>1215</v>
      </c>
      <c r="R292" s="4" t="s">
        <v>30</v>
      </c>
      <c r="S292" s="5" t="n">
        <v>126000</v>
      </c>
      <c r="T292" s="2" t="s">
        <v>413</v>
      </c>
    </row>
    <row r="293" customFormat="false" ht="15" hidden="false" customHeight="false" outlineLevel="0" collapsed="false">
      <c r="A293" s="2" t="s">
        <v>1216</v>
      </c>
      <c r="B293" s="3" t="n">
        <v>45984</v>
      </c>
      <c r="C293" s="3" t="n">
        <v>45984</v>
      </c>
      <c r="D293" s="2" t="s">
        <v>21</v>
      </c>
      <c r="E293" s="4" t="s">
        <v>52</v>
      </c>
      <c r="F293" s="5" t="n">
        <v>489600</v>
      </c>
      <c r="G293" s="6" t="n">
        <f aca="false">G292+IF(E293="Credit",F293,IF(E293="Debit",-F293,0))</f>
        <v>6793465</v>
      </c>
      <c r="H293" s="4" t="s">
        <v>53</v>
      </c>
      <c r="I293" s="2" t="s">
        <v>1217</v>
      </c>
      <c r="J293" s="2" t="s">
        <v>1218</v>
      </c>
      <c r="K293" s="4" t="s">
        <v>756</v>
      </c>
      <c r="L293" s="2" t="s">
        <v>757</v>
      </c>
      <c r="M293" s="4" t="s">
        <v>58</v>
      </c>
      <c r="N293" s="2" t="s">
        <v>1219</v>
      </c>
      <c r="O293" s="2" t="s">
        <v>60</v>
      </c>
      <c r="P293" s="2" t="s">
        <v>366</v>
      </c>
      <c r="Q293" s="2" t="s">
        <v>1220</v>
      </c>
      <c r="R293" s="4" t="s">
        <v>30</v>
      </c>
      <c r="S293" s="5" t="n">
        <v>69600</v>
      </c>
      <c r="T293" s="2" t="s">
        <v>1221</v>
      </c>
    </row>
    <row r="294" customFormat="false" ht="15" hidden="false" customHeight="false" outlineLevel="0" collapsed="false">
      <c r="A294" s="2" t="s">
        <v>1222</v>
      </c>
      <c r="B294" s="3" t="n">
        <v>45987</v>
      </c>
      <c r="C294" s="3" t="n">
        <v>45987</v>
      </c>
      <c r="D294" s="2" t="s">
        <v>21</v>
      </c>
      <c r="E294" s="4" t="s">
        <v>33</v>
      </c>
      <c r="F294" s="5" t="n">
        <v>38300</v>
      </c>
      <c r="G294" s="6" t="n">
        <f aca="false">G293+IF(E294="Credit",F294,IF(E294="Debit",-F294,0))</f>
        <v>6755165</v>
      </c>
      <c r="H294" s="4" t="s">
        <v>99</v>
      </c>
      <c r="I294" s="2" t="s">
        <v>1223</v>
      </c>
      <c r="J294" s="2" t="s">
        <v>1224</v>
      </c>
      <c r="K294" s="4" t="s">
        <v>474</v>
      </c>
      <c r="L294" s="2" t="s">
        <v>475</v>
      </c>
      <c r="M294" s="4" t="s">
        <v>58</v>
      </c>
      <c r="N294" s="2" t="s">
        <v>1225</v>
      </c>
      <c r="O294" s="2" t="s">
        <v>111</v>
      </c>
      <c r="P294" s="2" t="s">
        <v>112</v>
      </c>
      <c r="Q294" s="2" t="s">
        <v>1145</v>
      </c>
      <c r="R294" s="4" t="s">
        <v>30</v>
      </c>
      <c r="S294" s="5" t="n">
        <v>0</v>
      </c>
      <c r="T294" s="2" t="s">
        <v>1226</v>
      </c>
    </row>
    <row r="295" customFormat="false" ht="15" hidden="false" customHeight="false" outlineLevel="0" collapsed="false">
      <c r="A295" s="2" t="s">
        <v>1227</v>
      </c>
      <c r="B295" s="3" t="n">
        <v>45989</v>
      </c>
      <c r="C295" s="3" t="n">
        <v>45989</v>
      </c>
      <c r="D295" s="2" t="s">
        <v>21</v>
      </c>
      <c r="E295" s="4" t="s">
        <v>52</v>
      </c>
      <c r="F295" s="5" t="n">
        <v>78470</v>
      </c>
      <c r="G295" s="6" t="n">
        <f aca="false">G294+IF(E295="Credit",F295,IF(E295="Debit",-F295,0))</f>
        <v>6833635</v>
      </c>
      <c r="H295" s="4" t="s">
        <v>53</v>
      </c>
      <c r="I295" s="2" t="s">
        <v>1228</v>
      </c>
      <c r="J295" s="2" t="s">
        <v>1229</v>
      </c>
      <c r="K295" s="4" t="s">
        <v>1230</v>
      </c>
      <c r="L295" s="2" t="s">
        <v>1231</v>
      </c>
      <c r="M295" s="4" t="s">
        <v>58</v>
      </c>
      <c r="N295" s="2" t="s">
        <v>1232</v>
      </c>
      <c r="O295" s="2" t="s">
        <v>60</v>
      </c>
      <c r="P295" s="2" t="s">
        <v>522</v>
      </c>
      <c r="Q295" s="2" t="s">
        <v>1233</v>
      </c>
      <c r="R295" s="4" t="s">
        <v>30</v>
      </c>
      <c r="S295" s="5" t="n">
        <v>11970</v>
      </c>
      <c r="T295" s="2" t="s">
        <v>413</v>
      </c>
    </row>
    <row r="296" customFormat="false" ht="15" hidden="false" customHeight="false" outlineLevel="0" collapsed="false">
      <c r="A296" s="2" t="s">
        <v>1234</v>
      </c>
      <c r="B296" s="3" t="n">
        <v>45989</v>
      </c>
      <c r="C296" s="3" t="n">
        <v>45989</v>
      </c>
      <c r="D296" s="2" t="s">
        <v>21</v>
      </c>
      <c r="E296" s="4" t="s">
        <v>52</v>
      </c>
      <c r="F296" s="5" t="n">
        <v>165400</v>
      </c>
      <c r="G296" s="6" t="n">
        <f aca="false">G295+IF(E296="Credit",F296,IF(E296="Debit",-F296,0))</f>
        <v>6999035</v>
      </c>
      <c r="H296" s="4" t="s">
        <v>99</v>
      </c>
      <c r="I296" s="2" t="s">
        <v>1235</v>
      </c>
      <c r="J296" s="2" t="s">
        <v>1236</v>
      </c>
      <c r="K296" s="4" t="s">
        <v>56</v>
      </c>
      <c r="L296" s="2" t="s">
        <v>57</v>
      </c>
      <c r="M296" s="4" t="s">
        <v>58</v>
      </c>
      <c r="N296" s="2" t="s">
        <v>1237</v>
      </c>
      <c r="O296" s="2" t="s">
        <v>60</v>
      </c>
      <c r="P296" s="2" t="s">
        <v>935</v>
      </c>
      <c r="Q296" s="2" t="s">
        <v>1238</v>
      </c>
      <c r="R296" s="4" t="s">
        <v>30</v>
      </c>
      <c r="S296" s="5" t="n">
        <v>23400</v>
      </c>
      <c r="T296" s="2" t="s">
        <v>1239</v>
      </c>
    </row>
    <row r="297" customFormat="false" ht="15" hidden="false" customHeight="false" outlineLevel="0" collapsed="false">
      <c r="A297" s="2" t="s">
        <v>1240</v>
      </c>
      <c r="B297" s="3" t="n">
        <v>45989</v>
      </c>
      <c r="C297" s="3" t="n">
        <v>45989</v>
      </c>
      <c r="D297" s="2" t="s">
        <v>21</v>
      </c>
      <c r="E297" s="4" t="s">
        <v>33</v>
      </c>
      <c r="F297" s="5" t="n">
        <v>69100</v>
      </c>
      <c r="G297" s="6" t="n">
        <f aca="false">G296+IF(E297="Credit",F297,IF(E297="Debit",-F297,0))</f>
        <v>6929935</v>
      </c>
      <c r="H297" s="4" t="s">
        <v>53</v>
      </c>
      <c r="I297" s="2" t="s">
        <v>219</v>
      </c>
      <c r="J297" s="2" t="s">
        <v>1241</v>
      </c>
      <c r="K297" s="4" t="s">
        <v>221</v>
      </c>
      <c r="L297" s="2" t="s">
        <v>222</v>
      </c>
      <c r="M297" s="4" t="s">
        <v>223</v>
      </c>
      <c r="N297" s="2" t="s">
        <v>1242</v>
      </c>
      <c r="O297" s="2" t="s">
        <v>225</v>
      </c>
      <c r="P297" s="2" t="s">
        <v>226</v>
      </c>
      <c r="Q297" s="2"/>
      <c r="R297" s="4" t="s">
        <v>30</v>
      </c>
      <c r="S297" s="5" t="n">
        <v>0</v>
      </c>
      <c r="T297" s="2"/>
    </row>
    <row r="298" customFormat="false" ht="15" hidden="false" customHeight="false" outlineLevel="0" collapsed="false">
      <c r="A298" s="2" t="s">
        <v>1243</v>
      </c>
      <c r="B298" s="3" t="n">
        <v>45989</v>
      </c>
      <c r="C298" s="3" t="n">
        <v>45989</v>
      </c>
      <c r="D298" s="2" t="s">
        <v>21</v>
      </c>
      <c r="E298" s="4" t="s">
        <v>33</v>
      </c>
      <c r="F298" s="5" t="n">
        <v>91900</v>
      </c>
      <c r="G298" s="6" t="n">
        <f aca="false">G297+IF(E298="Credit",F298,IF(E298="Debit",-F298,0))</f>
        <v>6838035</v>
      </c>
      <c r="H298" s="4" t="s">
        <v>53</v>
      </c>
      <c r="I298" s="2" t="s">
        <v>228</v>
      </c>
      <c r="J298" s="2" t="s">
        <v>1241</v>
      </c>
      <c r="K298" s="4" t="s">
        <v>229</v>
      </c>
      <c r="L298" s="2" t="s">
        <v>230</v>
      </c>
      <c r="M298" s="4" t="s">
        <v>223</v>
      </c>
      <c r="N298" s="2" t="s">
        <v>1244</v>
      </c>
      <c r="O298" s="2" t="s">
        <v>225</v>
      </c>
      <c r="P298" s="2" t="s">
        <v>226</v>
      </c>
      <c r="Q298" s="2"/>
      <c r="R298" s="4" t="s">
        <v>30</v>
      </c>
      <c r="S298" s="5" t="n">
        <v>0</v>
      </c>
      <c r="T298" s="2"/>
    </row>
    <row r="299" customFormat="false" ht="15" hidden="false" customHeight="false" outlineLevel="0" collapsed="false">
      <c r="A299" s="2" t="s">
        <v>1245</v>
      </c>
      <c r="B299" s="3" t="n">
        <v>45989</v>
      </c>
      <c r="C299" s="3" t="n">
        <v>45989</v>
      </c>
      <c r="D299" s="2" t="s">
        <v>21</v>
      </c>
      <c r="E299" s="4" t="s">
        <v>33</v>
      </c>
      <c r="F299" s="5" t="n">
        <v>119200</v>
      </c>
      <c r="G299" s="6" t="n">
        <f aca="false">G298+IF(E299="Credit",F299,IF(E299="Debit",-F299,0))</f>
        <v>6718835</v>
      </c>
      <c r="H299" s="4" t="s">
        <v>53</v>
      </c>
      <c r="I299" s="2" t="s">
        <v>233</v>
      </c>
      <c r="J299" s="2" t="s">
        <v>1241</v>
      </c>
      <c r="K299" s="4" t="s">
        <v>234</v>
      </c>
      <c r="L299" s="2" t="s">
        <v>235</v>
      </c>
      <c r="M299" s="4" t="s">
        <v>223</v>
      </c>
      <c r="N299" s="2" t="s">
        <v>1246</v>
      </c>
      <c r="O299" s="2" t="s">
        <v>225</v>
      </c>
      <c r="P299" s="2" t="s">
        <v>237</v>
      </c>
      <c r="Q299" s="2"/>
      <c r="R299" s="4" t="s">
        <v>30</v>
      </c>
      <c r="S299" s="5" t="n">
        <v>0</v>
      </c>
      <c r="T299" s="2"/>
    </row>
    <row r="300" customFormat="false" ht="15" hidden="false" customHeight="false" outlineLevel="0" collapsed="false">
      <c r="A300" s="2" t="s">
        <v>1247</v>
      </c>
      <c r="B300" s="3" t="n">
        <v>45989</v>
      </c>
      <c r="C300" s="3" t="n">
        <v>45989</v>
      </c>
      <c r="D300" s="2" t="s">
        <v>21</v>
      </c>
      <c r="E300" s="4" t="s">
        <v>33</v>
      </c>
      <c r="F300" s="5" t="n">
        <v>72500</v>
      </c>
      <c r="G300" s="6" t="n">
        <f aca="false">G299+IF(E300="Credit",F300,IF(E300="Debit",-F300,0))</f>
        <v>6646335</v>
      </c>
      <c r="H300" s="4" t="s">
        <v>53</v>
      </c>
      <c r="I300" s="2" t="s">
        <v>239</v>
      </c>
      <c r="J300" s="2" t="s">
        <v>1241</v>
      </c>
      <c r="K300" s="4" t="s">
        <v>240</v>
      </c>
      <c r="L300" s="2" t="s">
        <v>241</v>
      </c>
      <c r="M300" s="4" t="s">
        <v>223</v>
      </c>
      <c r="N300" s="2" t="s">
        <v>1248</v>
      </c>
      <c r="O300" s="2" t="s">
        <v>225</v>
      </c>
      <c r="P300" s="2" t="s">
        <v>243</v>
      </c>
      <c r="Q300" s="2"/>
      <c r="R300" s="4" t="s">
        <v>30</v>
      </c>
      <c r="S300" s="5" t="n">
        <v>0</v>
      </c>
      <c r="T300" s="2"/>
    </row>
    <row r="301" customFormat="false" ht="15" hidden="false" customHeight="false" outlineLevel="0" collapsed="false">
      <c r="A301" s="2" t="s">
        <v>1249</v>
      </c>
      <c r="B301" s="3" t="n">
        <v>45989</v>
      </c>
      <c r="C301" s="3" t="n">
        <v>45989</v>
      </c>
      <c r="D301" s="2" t="s">
        <v>21</v>
      </c>
      <c r="E301" s="4" t="s">
        <v>33</v>
      </c>
      <c r="F301" s="5" t="n">
        <v>93400</v>
      </c>
      <c r="G301" s="6" t="n">
        <f aca="false">G300+IF(E301="Credit",F301,IF(E301="Debit",-F301,0))</f>
        <v>6552935</v>
      </c>
      <c r="H301" s="4" t="s">
        <v>53</v>
      </c>
      <c r="I301" s="2" t="s">
        <v>245</v>
      </c>
      <c r="J301" s="2" t="s">
        <v>1241</v>
      </c>
      <c r="K301" s="4" t="s">
        <v>246</v>
      </c>
      <c r="L301" s="2" t="s">
        <v>247</v>
      </c>
      <c r="M301" s="4" t="s">
        <v>223</v>
      </c>
      <c r="N301" s="2" t="s">
        <v>1250</v>
      </c>
      <c r="O301" s="2" t="s">
        <v>225</v>
      </c>
      <c r="P301" s="2" t="s">
        <v>226</v>
      </c>
      <c r="Q301" s="2"/>
      <c r="R301" s="4" t="s">
        <v>30</v>
      </c>
      <c r="S301" s="5" t="n">
        <v>0</v>
      </c>
      <c r="T301" s="2"/>
    </row>
    <row r="302" customFormat="false" ht="15" hidden="false" customHeight="false" outlineLevel="0" collapsed="false">
      <c r="A302" s="2" t="s">
        <v>1251</v>
      </c>
      <c r="B302" s="3" t="n">
        <v>45989</v>
      </c>
      <c r="C302" s="3" t="n">
        <v>45989</v>
      </c>
      <c r="D302" s="2" t="s">
        <v>21</v>
      </c>
      <c r="E302" s="4" t="s">
        <v>33</v>
      </c>
      <c r="F302" s="5" t="n">
        <v>62100</v>
      </c>
      <c r="G302" s="6" t="n">
        <f aca="false">G301+IF(E302="Credit",F302,IF(E302="Debit",-F302,0))</f>
        <v>6490835</v>
      </c>
      <c r="H302" s="4" t="s">
        <v>53</v>
      </c>
      <c r="I302" s="2" t="s">
        <v>250</v>
      </c>
      <c r="J302" s="2" t="s">
        <v>1241</v>
      </c>
      <c r="K302" s="4" t="s">
        <v>251</v>
      </c>
      <c r="L302" s="2" t="s">
        <v>252</v>
      </c>
      <c r="M302" s="4" t="s">
        <v>223</v>
      </c>
      <c r="N302" s="2" t="s">
        <v>1252</v>
      </c>
      <c r="O302" s="2" t="s">
        <v>225</v>
      </c>
      <c r="P302" s="2" t="s">
        <v>226</v>
      </c>
      <c r="Q302" s="2"/>
      <c r="R302" s="4" t="s">
        <v>30</v>
      </c>
      <c r="S302" s="5" t="n">
        <v>0</v>
      </c>
      <c r="T302" s="2"/>
    </row>
    <row r="303" customFormat="false" ht="15" hidden="false" customHeight="false" outlineLevel="0" collapsed="false">
      <c r="A303" s="2" t="s">
        <v>1253</v>
      </c>
      <c r="B303" s="3" t="n">
        <v>45989</v>
      </c>
      <c r="C303" s="3" t="n">
        <v>45989</v>
      </c>
      <c r="D303" s="2" t="s">
        <v>21</v>
      </c>
      <c r="E303" s="4" t="s">
        <v>33</v>
      </c>
      <c r="F303" s="5" t="n">
        <v>78100</v>
      </c>
      <c r="G303" s="6" t="n">
        <f aca="false">G302+IF(E303="Credit",F303,IF(E303="Debit",-F303,0))</f>
        <v>6412735</v>
      </c>
      <c r="H303" s="4" t="s">
        <v>53</v>
      </c>
      <c r="I303" s="2" t="s">
        <v>255</v>
      </c>
      <c r="J303" s="2" t="s">
        <v>1241</v>
      </c>
      <c r="K303" s="4" t="s">
        <v>256</v>
      </c>
      <c r="L303" s="2" t="s">
        <v>257</v>
      </c>
      <c r="M303" s="4" t="s">
        <v>223</v>
      </c>
      <c r="N303" s="2" t="s">
        <v>1254</v>
      </c>
      <c r="O303" s="2" t="s">
        <v>225</v>
      </c>
      <c r="P303" s="2" t="s">
        <v>237</v>
      </c>
      <c r="Q303" s="2"/>
      <c r="R303" s="4" t="s">
        <v>30</v>
      </c>
      <c r="S303" s="5" t="n">
        <v>0</v>
      </c>
      <c r="T303" s="2"/>
    </row>
    <row r="304" customFormat="false" ht="15" hidden="false" customHeight="false" outlineLevel="0" collapsed="false">
      <c r="A304" s="2" t="s">
        <v>1255</v>
      </c>
      <c r="B304" s="3" t="n">
        <v>45989</v>
      </c>
      <c r="C304" s="3" t="n">
        <v>45989</v>
      </c>
      <c r="D304" s="2" t="s">
        <v>21</v>
      </c>
      <c r="E304" s="4" t="s">
        <v>33</v>
      </c>
      <c r="F304" s="5" t="n">
        <v>86600</v>
      </c>
      <c r="G304" s="6" t="n">
        <f aca="false">G303+IF(E304="Credit",F304,IF(E304="Debit",-F304,0))</f>
        <v>6326135</v>
      </c>
      <c r="H304" s="4" t="s">
        <v>53</v>
      </c>
      <c r="I304" s="2" t="s">
        <v>260</v>
      </c>
      <c r="J304" s="2" t="s">
        <v>1241</v>
      </c>
      <c r="K304" s="4" t="s">
        <v>261</v>
      </c>
      <c r="L304" s="2" t="s">
        <v>262</v>
      </c>
      <c r="M304" s="4" t="s">
        <v>223</v>
      </c>
      <c r="N304" s="2" t="s">
        <v>1256</v>
      </c>
      <c r="O304" s="2" t="s">
        <v>225</v>
      </c>
      <c r="P304" s="2" t="s">
        <v>264</v>
      </c>
      <c r="Q304" s="2"/>
      <c r="R304" s="4" t="s">
        <v>30</v>
      </c>
      <c r="S304" s="5" t="n">
        <v>0</v>
      </c>
      <c r="T304" s="2"/>
    </row>
    <row r="305" customFormat="false" ht="15" hidden="false" customHeight="false" outlineLevel="0" collapsed="false">
      <c r="A305" s="2" t="s">
        <v>1257</v>
      </c>
      <c r="B305" s="3" t="n">
        <v>45989</v>
      </c>
      <c r="C305" s="3" t="n">
        <v>45989</v>
      </c>
      <c r="D305" s="2" t="s">
        <v>21</v>
      </c>
      <c r="E305" s="4" t="s">
        <v>33</v>
      </c>
      <c r="F305" s="5" t="n">
        <v>58800</v>
      </c>
      <c r="G305" s="6" t="n">
        <f aca="false">G304+IF(E305="Credit",F305,IF(E305="Debit",-F305,0))</f>
        <v>6267335</v>
      </c>
      <c r="H305" s="4" t="s">
        <v>53</v>
      </c>
      <c r="I305" s="2" t="s">
        <v>266</v>
      </c>
      <c r="J305" s="2" t="s">
        <v>1241</v>
      </c>
      <c r="K305" s="4" t="s">
        <v>267</v>
      </c>
      <c r="L305" s="2" t="s">
        <v>268</v>
      </c>
      <c r="M305" s="4" t="s">
        <v>223</v>
      </c>
      <c r="N305" s="2" t="s">
        <v>1258</v>
      </c>
      <c r="O305" s="2" t="s">
        <v>225</v>
      </c>
      <c r="P305" s="2" t="s">
        <v>270</v>
      </c>
      <c r="Q305" s="2"/>
      <c r="R305" s="4" t="s">
        <v>30</v>
      </c>
      <c r="S305" s="5" t="n">
        <v>0</v>
      </c>
      <c r="T305" s="2"/>
    </row>
    <row r="306" customFormat="false" ht="15" hidden="false" customHeight="false" outlineLevel="0" collapsed="false">
      <c r="A306" s="2" t="s">
        <v>1259</v>
      </c>
      <c r="B306" s="3" t="n">
        <v>45989</v>
      </c>
      <c r="C306" s="3" t="n">
        <v>45989</v>
      </c>
      <c r="D306" s="2" t="s">
        <v>21</v>
      </c>
      <c r="E306" s="4" t="s">
        <v>33</v>
      </c>
      <c r="F306" s="5" t="n">
        <v>82600</v>
      </c>
      <c r="G306" s="6" t="n">
        <f aca="false">G305+IF(E306="Credit",F306,IF(E306="Debit",-F306,0))</f>
        <v>6184735</v>
      </c>
      <c r="H306" s="4" t="s">
        <v>53</v>
      </c>
      <c r="I306" s="2" t="s">
        <v>272</v>
      </c>
      <c r="J306" s="2" t="s">
        <v>1241</v>
      </c>
      <c r="K306" s="4" t="s">
        <v>273</v>
      </c>
      <c r="L306" s="2" t="s">
        <v>274</v>
      </c>
      <c r="M306" s="4" t="s">
        <v>223</v>
      </c>
      <c r="N306" s="2" t="s">
        <v>1260</v>
      </c>
      <c r="O306" s="2" t="s">
        <v>225</v>
      </c>
      <c r="P306" s="2" t="s">
        <v>276</v>
      </c>
      <c r="Q306" s="2"/>
      <c r="R306" s="4" t="s">
        <v>30</v>
      </c>
      <c r="S306" s="5" t="n">
        <v>0</v>
      </c>
      <c r="T306" s="2"/>
    </row>
    <row r="307" customFormat="false" ht="15" hidden="false" customHeight="false" outlineLevel="0" collapsed="false">
      <c r="A307" s="2" t="s">
        <v>1261</v>
      </c>
      <c r="B307" s="3" t="n">
        <v>45989</v>
      </c>
      <c r="C307" s="3" t="n">
        <v>45989</v>
      </c>
      <c r="D307" s="2" t="s">
        <v>21</v>
      </c>
      <c r="E307" s="4" t="s">
        <v>33</v>
      </c>
      <c r="F307" s="5" t="n">
        <v>132400</v>
      </c>
      <c r="G307" s="6" t="n">
        <f aca="false">G306+IF(E307="Credit",F307,IF(E307="Debit",-F307,0))</f>
        <v>6052335</v>
      </c>
      <c r="H307" s="4" t="s">
        <v>53</v>
      </c>
      <c r="I307" s="2" t="s">
        <v>278</v>
      </c>
      <c r="J307" s="2" t="s">
        <v>1241</v>
      </c>
      <c r="K307" s="4" t="s">
        <v>279</v>
      </c>
      <c r="L307" s="2" t="s">
        <v>280</v>
      </c>
      <c r="M307" s="4" t="s">
        <v>223</v>
      </c>
      <c r="N307" s="2" t="s">
        <v>1262</v>
      </c>
      <c r="O307" s="2" t="s">
        <v>225</v>
      </c>
      <c r="P307" s="2" t="s">
        <v>226</v>
      </c>
      <c r="Q307" s="2"/>
      <c r="R307" s="4" t="s">
        <v>30</v>
      </c>
      <c r="S307" s="5" t="n">
        <v>0</v>
      </c>
      <c r="T307" s="2"/>
    </row>
    <row r="308" customFormat="false" ht="15" hidden="false" customHeight="false" outlineLevel="0" collapsed="false">
      <c r="A308" s="2" t="s">
        <v>1263</v>
      </c>
      <c r="B308" s="3" t="n">
        <v>45989</v>
      </c>
      <c r="C308" s="3" t="n">
        <v>45989</v>
      </c>
      <c r="D308" s="2" t="s">
        <v>21</v>
      </c>
      <c r="E308" s="4" t="s">
        <v>33</v>
      </c>
      <c r="F308" s="5" t="n">
        <v>54200</v>
      </c>
      <c r="G308" s="6" t="n">
        <f aca="false">G307+IF(E308="Credit",F308,IF(E308="Debit",-F308,0))</f>
        <v>5998135</v>
      </c>
      <c r="H308" s="4" t="s">
        <v>53</v>
      </c>
      <c r="I308" s="2" t="s">
        <v>283</v>
      </c>
      <c r="J308" s="2" t="s">
        <v>1241</v>
      </c>
      <c r="K308" s="4" t="s">
        <v>284</v>
      </c>
      <c r="L308" s="2" t="s">
        <v>285</v>
      </c>
      <c r="M308" s="4" t="s">
        <v>223</v>
      </c>
      <c r="N308" s="2" t="s">
        <v>1264</v>
      </c>
      <c r="O308" s="2" t="s">
        <v>225</v>
      </c>
      <c r="P308" s="2" t="s">
        <v>287</v>
      </c>
      <c r="Q308" s="2"/>
      <c r="R308" s="4" t="s">
        <v>30</v>
      </c>
      <c r="S308" s="5" t="n">
        <v>0</v>
      </c>
      <c r="T308" s="2"/>
    </row>
    <row r="309" customFormat="false" ht="15" hidden="false" customHeight="false" outlineLevel="0" collapsed="false">
      <c r="A309" s="2" t="s">
        <v>1265</v>
      </c>
      <c r="B309" s="3" t="n">
        <v>45991</v>
      </c>
      <c r="C309" s="3" t="n">
        <v>45991</v>
      </c>
      <c r="D309" s="2" t="s">
        <v>21</v>
      </c>
      <c r="E309" s="4" t="s">
        <v>33</v>
      </c>
      <c r="F309" s="5" t="n">
        <v>20600</v>
      </c>
      <c r="G309" s="6" t="n">
        <f aca="false">G308+IF(E309="Credit",F309,IF(E309="Debit",-F309,0))</f>
        <v>5977535</v>
      </c>
      <c r="H309" s="4" t="s">
        <v>99</v>
      </c>
      <c r="I309" s="2" t="s">
        <v>1266</v>
      </c>
      <c r="J309" s="2" t="s">
        <v>1267</v>
      </c>
      <c r="K309" s="4" t="s">
        <v>631</v>
      </c>
      <c r="L309" s="2" t="s">
        <v>632</v>
      </c>
      <c r="M309" s="4" t="s">
        <v>38</v>
      </c>
      <c r="N309" s="2" t="s">
        <v>1268</v>
      </c>
      <c r="O309" s="2" t="s">
        <v>160</v>
      </c>
      <c r="P309" s="2" t="s">
        <v>996</v>
      </c>
      <c r="Q309" s="2" t="s">
        <v>1269</v>
      </c>
      <c r="R309" s="4" t="s">
        <v>30</v>
      </c>
      <c r="S309" s="5" t="n">
        <v>3142</v>
      </c>
      <c r="T309" s="2" t="s">
        <v>188</v>
      </c>
    </row>
    <row r="310" customFormat="false" ht="15" hidden="false" customHeight="false" outlineLevel="0" collapsed="false">
      <c r="A310" s="2" t="s">
        <v>1270</v>
      </c>
      <c r="B310" s="3" t="n">
        <v>45992</v>
      </c>
      <c r="C310" s="3" t="n">
        <v>45992</v>
      </c>
      <c r="D310" s="2" t="s">
        <v>21</v>
      </c>
      <c r="E310" s="4" t="s">
        <v>52</v>
      </c>
      <c r="F310" s="5" t="n">
        <v>1511800</v>
      </c>
      <c r="G310" s="6" t="n">
        <f aca="false">G309+IF(E310="Credit",F310,IF(E310="Debit",-F310,0))</f>
        <v>7489335</v>
      </c>
      <c r="H310" s="4" t="s">
        <v>180</v>
      </c>
      <c r="I310" s="2" t="s">
        <v>1271</v>
      </c>
      <c r="J310" s="2" t="s">
        <v>1272</v>
      </c>
      <c r="K310" s="4" t="s">
        <v>351</v>
      </c>
      <c r="L310" s="2" t="s">
        <v>352</v>
      </c>
      <c r="M310" s="4" t="s">
        <v>58</v>
      </c>
      <c r="N310" s="2" t="s">
        <v>1273</v>
      </c>
      <c r="O310" s="2" t="s">
        <v>60</v>
      </c>
      <c r="P310" s="2" t="s">
        <v>366</v>
      </c>
      <c r="Q310" s="2" t="s">
        <v>1274</v>
      </c>
      <c r="R310" s="4" t="s">
        <v>30</v>
      </c>
      <c r="S310" s="5" t="n">
        <v>196800</v>
      </c>
      <c r="T310" s="2" t="s">
        <v>1275</v>
      </c>
    </row>
    <row r="311" customFormat="false" ht="15" hidden="false" customHeight="false" outlineLevel="0" collapsed="false">
      <c r="A311" s="2" t="s">
        <v>1276</v>
      </c>
      <c r="B311" s="3" t="n">
        <v>45993</v>
      </c>
      <c r="C311" s="3" t="n">
        <v>45993</v>
      </c>
      <c r="D311" s="2" t="s">
        <v>21</v>
      </c>
      <c r="E311" s="4" t="s">
        <v>52</v>
      </c>
      <c r="F311" s="5" t="n">
        <v>392000</v>
      </c>
      <c r="G311" s="6" t="n">
        <f aca="false">G310+IF(E311="Credit",F311,IF(E311="Debit",-F311,0))</f>
        <v>7881335</v>
      </c>
      <c r="H311" s="4" t="s">
        <v>685</v>
      </c>
      <c r="I311" s="2" t="s">
        <v>1277</v>
      </c>
      <c r="J311" s="2" t="s">
        <v>1278</v>
      </c>
      <c r="K311" s="4" t="s">
        <v>639</v>
      </c>
      <c r="L311" s="2" t="s">
        <v>640</v>
      </c>
      <c r="M311" s="4" t="s">
        <v>58</v>
      </c>
      <c r="N311" s="2" t="s">
        <v>1279</v>
      </c>
      <c r="O311" s="2" t="s">
        <v>60</v>
      </c>
      <c r="P311" s="2" t="s">
        <v>318</v>
      </c>
      <c r="Q311" s="2" t="s">
        <v>1280</v>
      </c>
      <c r="R311" s="4" t="s">
        <v>30</v>
      </c>
      <c r="S311" s="5" t="n">
        <v>42000</v>
      </c>
      <c r="T311" s="2" t="s">
        <v>1281</v>
      </c>
    </row>
    <row r="312" customFormat="false" ht="15" hidden="false" customHeight="false" outlineLevel="0" collapsed="false">
      <c r="A312" s="2" t="s">
        <v>1282</v>
      </c>
      <c r="B312" s="3" t="n">
        <v>45993</v>
      </c>
      <c r="C312" s="3" t="n">
        <v>45993</v>
      </c>
      <c r="D312" s="2" t="s">
        <v>21</v>
      </c>
      <c r="E312" s="4" t="s">
        <v>33</v>
      </c>
      <c r="F312" s="5" t="n">
        <v>6600</v>
      </c>
      <c r="G312" s="6" t="n">
        <f aca="false">G311+IF(E312="Credit",F312,IF(E312="Debit",-F312,0))</f>
        <v>7874735</v>
      </c>
      <c r="H312" s="4" t="s">
        <v>34</v>
      </c>
      <c r="I312" s="2" t="s">
        <v>290</v>
      </c>
      <c r="J312" s="2" t="s">
        <v>290</v>
      </c>
      <c r="K312" s="4" t="s">
        <v>36</v>
      </c>
      <c r="L312" s="2" t="s">
        <v>37</v>
      </c>
      <c r="M312" s="4" t="s">
        <v>38</v>
      </c>
      <c r="N312" s="2" t="s">
        <v>1283</v>
      </c>
      <c r="O312" s="2" t="s">
        <v>40</v>
      </c>
      <c r="P312" s="2" t="s">
        <v>41</v>
      </c>
      <c r="Q312" s="2"/>
      <c r="R312" s="4" t="s">
        <v>30</v>
      </c>
      <c r="S312" s="5" t="n">
        <v>0</v>
      </c>
      <c r="T312" s="2"/>
    </row>
    <row r="313" customFormat="false" ht="15" hidden="false" customHeight="false" outlineLevel="0" collapsed="false">
      <c r="A313" s="2" t="s">
        <v>1284</v>
      </c>
      <c r="B313" s="3" t="n">
        <v>45994</v>
      </c>
      <c r="C313" s="3" t="n">
        <v>45994</v>
      </c>
      <c r="D313" s="2" t="s">
        <v>21</v>
      </c>
      <c r="E313" s="4" t="s">
        <v>33</v>
      </c>
      <c r="F313" s="5" t="n">
        <v>100700</v>
      </c>
      <c r="G313" s="6" t="n">
        <f aca="false">G312+IF(E313="Credit",F313,IF(E313="Debit",-F313,0))</f>
        <v>7774035</v>
      </c>
      <c r="H313" s="4" t="s">
        <v>43</v>
      </c>
      <c r="I313" s="2" t="s">
        <v>44</v>
      </c>
      <c r="J313" s="2" t="s">
        <v>1285</v>
      </c>
      <c r="K313" s="4" t="s">
        <v>46</v>
      </c>
      <c r="L313" s="2" t="s">
        <v>47</v>
      </c>
      <c r="M313" s="4" t="s">
        <v>38</v>
      </c>
      <c r="N313" s="2" t="s">
        <v>1286</v>
      </c>
      <c r="O313" s="2" t="s">
        <v>49</v>
      </c>
      <c r="P313" s="2" t="s">
        <v>50</v>
      </c>
      <c r="Q313" s="2"/>
      <c r="R313" s="4" t="s">
        <v>30</v>
      </c>
      <c r="S313" s="5" t="n">
        <v>0</v>
      </c>
      <c r="T313" s="2"/>
    </row>
    <row r="314" customFormat="false" ht="15" hidden="false" customHeight="false" outlineLevel="0" collapsed="false">
      <c r="A314" s="2" t="s">
        <v>1287</v>
      </c>
      <c r="B314" s="3" t="n">
        <v>45995</v>
      </c>
      <c r="C314" s="3" t="n">
        <v>45995</v>
      </c>
      <c r="D314" s="2" t="s">
        <v>21</v>
      </c>
      <c r="E314" s="4" t="s">
        <v>33</v>
      </c>
      <c r="F314" s="5" t="n">
        <v>550</v>
      </c>
      <c r="G314" s="6" t="n">
        <f aca="false">G313+IF(E314="Credit",F314,IF(E314="Debit",-F314,0))</f>
        <v>7773485</v>
      </c>
      <c r="H314" s="4" t="s">
        <v>53</v>
      </c>
      <c r="I314" s="2" t="s">
        <v>93</v>
      </c>
      <c r="J314" s="2" t="s">
        <v>94</v>
      </c>
      <c r="K314" s="4" t="s">
        <v>67</v>
      </c>
      <c r="L314" s="2" t="s">
        <v>68</v>
      </c>
      <c r="M314" s="4" t="s">
        <v>69</v>
      </c>
      <c r="N314" s="2" t="s">
        <v>1288</v>
      </c>
      <c r="O314" s="2" t="s">
        <v>96</v>
      </c>
      <c r="P314" s="2" t="s">
        <v>97</v>
      </c>
      <c r="Q314" s="2"/>
      <c r="R314" s="4" t="s">
        <v>30</v>
      </c>
      <c r="S314" s="5" t="n">
        <v>0</v>
      </c>
      <c r="T314" s="2"/>
    </row>
    <row r="315" customFormat="false" ht="15" hidden="false" customHeight="false" outlineLevel="0" collapsed="false">
      <c r="A315" s="2" t="s">
        <v>1289</v>
      </c>
      <c r="B315" s="3" t="n">
        <v>45995</v>
      </c>
      <c r="C315" s="3" t="n">
        <v>45995</v>
      </c>
      <c r="D315" s="2" t="s">
        <v>21</v>
      </c>
      <c r="E315" s="4" t="s">
        <v>33</v>
      </c>
      <c r="F315" s="5" t="n">
        <v>840</v>
      </c>
      <c r="G315" s="6" t="n">
        <f aca="false">G314+IF(E315="Credit",F315,IF(E315="Debit",-F315,0))</f>
        <v>7772645</v>
      </c>
      <c r="H315" s="4" t="s">
        <v>53</v>
      </c>
      <c r="I315" s="2" t="s">
        <v>93</v>
      </c>
      <c r="J315" s="2" t="s">
        <v>94</v>
      </c>
      <c r="K315" s="4" t="s">
        <v>67</v>
      </c>
      <c r="L315" s="2" t="s">
        <v>68</v>
      </c>
      <c r="M315" s="4" t="s">
        <v>69</v>
      </c>
      <c r="N315" s="2" t="s">
        <v>1290</v>
      </c>
      <c r="O315" s="2" t="s">
        <v>96</v>
      </c>
      <c r="P315" s="2" t="s">
        <v>97</v>
      </c>
      <c r="Q315" s="2"/>
      <c r="R315" s="4" t="s">
        <v>30</v>
      </c>
      <c r="S315" s="5" t="n">
        <v>0</v>
      </c>
      <c r="T315" s="2"/>
    </row>
    <row r="316" customFormat="false" ht="15" hidden="false" customHeight="false" outlineLevel="0" collapsed="false">
      <c r="A316" s="2" t="s">
        <v>1291</v>
      </c>
      <c r="B316" s="3" t="n">
        <v>45996</v>
      </c>
      <c r="C316" s="3" t="n">
        <v>45996</v>
      </c>
      <c r="D316" s="2" t="s">
        <v>21</v>
      </c>
      <c r="E316" s="4" t="s">
        <v>33</v>
      </c>
      <c r="F316" s="5" t="n">
        <v>145000</v>
      </c>
      <c r="G316" s="6" t="n">
        <f aca="false">G315+IF(E316="Credit",F316,IF(E316="Debit",-F316,0))</f>
        <v>7627645</v>
      </c>
      <c r="H316" s="4" t="s">
        <v>64</v>
      </c>
      <c r="I316" s="2" t="s">
        <v>65</v>
      </c>
      <c r="J316" s="2" t="s">
        <v>1292</v>
      </c>
      <c r="K316" s="4" t="s">
        <v>67</v>
      </c>
      <c r="L316" s="2" t="s">
        <v>68</v>
      </c>
      <c r="M316" s="4" t="s">
        <v>69</v>
      </c>
      <c r="N316" s="2" t="s">
        <v>1293</v>
      </c>
      <c r="O316" s="2" t="s">
        <v>71</v>
      </c>
      <c r="P316" s="2" t="s">
        <v>72</v>
      </c>
      <c r="Q316" s="2"/>
      <c r="R316" s="4" t="s">
        <v>30</v>
      </c>
      <c r="S316" s="5" t="n">
        <v>0</v>
      </c>
      <c r="T316" s="2"/>
    </row>
    <row r="317" customFormat="false" ht="15" hidden="false" customHeight="false" outlineLevel="0" collapsed="false">
      <c r="A317" s="2" t="s">
        <v>1294</v>
      </c>
      <c r="B317" s="3" t="n">
        <v>45996</v>
      </c>
      <c r="C317" s="3" t="n">
        <v>45996</v>
      </c>
      <c r="D317" s="2" t="s">
        <v>21</v>
      </c>
      <c r="E317" s="4" t="s">
        <v>33</v>
      </c>
      <c r="F317" s="5" t="n">
        <v>31900</v>
      </c>
      <c r="G317" s="6" t="n">
        <f aca="false">G316+IF(E317="Credit",F317,IF(E317="Debit",-F317,0))</f>
        <v>7595745</v>
      </c>
      <c r="H317" s="4" t="s">
        <v>74</v>
      </c>
      <c r="I317" s="2" t="s">
        <v>615</v>
      </c>
      <c r="J317" s="2" t="s">
        <v>616</v>
      </c>
      <c r="K317" s="4" t="s">
        <v>376</v>
      </c>
      <c r="L317" s="2" t="s">
        <v>377</v>
      </c>
      <c r="M317" s="4" t="s">
        <v>38</v>
      </c>
      <c r="N317" s="2" t="s">
        <v>1295</v>
      </c>
      <c r="O317" s="2" t="s">
        <v>129</v>
      </c>
      <c r="P317" s="2" t="s">
        <v>130</v>
      </c>
      <c r="Q317" s="2"/>
      <c r="R317" s="4" t="s">
        <v>30</v>
      </c>
      <c r="S317" s="5" t="n">
        <v>0</v>
      </c>
      <c r="T317" s="2"/>
    </row>
    <row r="318" customFormat="false" ht="15" hidden="false" customHeight="false" outlineLevel="0" collapsed="false">
      <c r="A318" s="2" t="s">
        <v>1296</v>
      </c>
      <c r="B318" s="3" t="n">
        <v>45996</v>
      </c>
      <c r="C318" s="3" t="n">
        <v>45996</v>
      </c>
      <c r="D318" s="2" t="s">
        <v>21</v>
      </c>
      <c r="E318" s="4" t="s">
        <v>33</v>
      </c>
      <c r="F318" s="5" t="n">
        <v>4700</v>
      </c>
      <c r="G318" s="6" t="n">
        <f aca="false">G317+IF(E318="Credit",F318,IF(E318="Debit",-F318,0))</f>
        <v>7591045</v>
      </c>
      <c r="H318" s="4" t="s">
        <v>289</v>
      </c>
      <c r="I318" s="2" t="s">
        <v>35</v>
      </c>
      <c r="J318" s="2" t="s">
        <v>35</v>
      </c>
      <c r="K318" s="4" t="s">
        <v>36</v>
      </c>
      <c r="L318" s="2" t="s">
        <v>37</v>
      </c>
      <c r="M318" s="4" t="s">
        <v>38</v>
      </c>
      <c r="N318" s="2" t="s">
        <v>1297</v>
      </c>
      <c r="O318" s="2" t="s">
        <v>40</v>
      </c>
      <c r="P318" s="2" t="s">
        <v>41</v>
      </c>
      <c r="Q318" s="2"/>
      <c r="R318" s="4" t="s">
        <v>30</v>
      </c>
      <c r="S318" s="5" t="n">
        <v>0</v>
      </c>
      <c r="T318" s="2"/>
    </row>
    <row r="319" customFormat="false" ht="15" hidden="false" customHeight="false" outlineLevel="0" collapsed="false">
      <c r="A319" s="2" t="s">
        <v>1298</v>
      </c>
      <c r="B319" s="3" t="n">
        <v>45997</v>
      </c>
      <c r="C319" s="3" t="n">
        <v>45997</v>
      </c>
      <c r="D319" s="2" t="s">
        <v>21</v>
      </c>
      <c r="E319" s="4" t="s">
        <v>52</v>
      </c>
      <c r="F319" s="5" t="n">
        <v>78666</v>
      </c>
      <c r="G319" s="6" t="n">
        <f aca="false">G318+IF(E319="Credit",F319,IF(E319="Debit",-F319,0))</f>
        <v>7669711</v>
      </c>
      <c r="H319" s="4" t="s">
        <v>99</v>
      </c>
      <c r="I319" s="2" t="s">
        <v>945</v>
      </c>
      <c r="J319" s="2" t="s">
        <v>1299</v>
      </c>
      <c r="K319" s="4" t="s">
        <v>947</v>
      </c>
      <c r="L319" s="2" t="s">
        <v>948</v>
      </c>
      <c r="M319" s="4" t="s">
        <v>58</v>
      </c>
      <c r="N319" s="2" t="s">
        <v>1300</v>
      </c>
      <c r="O319" s="2" t="s">
        <v>60</v>
      </c>
      <c r="P319" s="2" t="s">
        <v>1033</v>
      </c>
      <c r="Q319" s="2" t="s">
        <v>1182</v>
      </c>
      <c r="R319" s="4" t="s">
        <v>30</v>
      </c>
      <c r="S319" s="5" t="n">
        <v>12000</v>
      </c>
      <c r="T319" s="2" t="s">
        <v>1301</v>
      </c>
    </row>
    <row r="320" customFormat="false" ht="15" hidden="false" customHeight="false" outlineLevel="0" collapsed="false">
      <c r="A320" s="2" t="s">
        <v>1302</v>
      </c>
      <c r="B320" s="3" t="n">
        <v>45998</v>
      </c>
      <c r="C320" s="3" t="n">
        <v>45998</v>
      </c>
      <c r="D320" s="2" t="s">
        <v>21</v>
      </c>
      <c r="E320" s="4" t="s">
        <v>33</v>
      </c>
      <c r="F320" s="5" t="n">
        <v>12000</v>
      </c>
      <c r="G320" s="6" t="n">
        <f aca="false">G319+IF(E320="Credit",F320,IF(E320="Debit",-F320,0))</f>
        <v>7657711</v>
      </c>
      <c r="H320" s="4" t="s">
        <v>64</v>
      </c>
      <c r="I320" s="2" t="s">
        <v>83</v>
      </c>
      <c r="J320" s="2" t="s">
        <v>1303</v>
      </c>
      <c r="K320" s="4" t="s">
        <v>85</v>
      </c>
      <c r="L320" s="2" t="s">
        <v>86</v>
      </c>
      <c r="M320" s="4" t="s">
        <v>38</v>
      </c>
      <c r="N320" s="2" t="s">
        <v>1304</v>
      </c>
      <c r="O320" s="2" t="s">
        <v>88</v>
      </c>
      <c r="P320" s="2" t="s">
        <v>89</v>
      </c>
      <c r="Q320" s="2"/>
      <c r="R320" s="4" t="s">
        <v>30</v>
      </c>
      <c r="S320" s="5" t="n">
        <v>0</v>
      </c>
      <c r="T320" s="2"/>
    </row>
    <row r="321" customFormat="false" ht="15" hidden="false" customHeight="false" outlineLevel="0" collapsed="false">
      <c r="A321" s="2" t="s">
        <v>1305</v>
      </c>
      <c r="B321" s="3" t="n">
        <v>45999</v>
      </c>
      <c r="C321" s="3" t="n">
        <v>45999</v>
      </c>
      <c r="D321" s="2" t="s">
        <v>21</v>
      </c>
      <c r="E321" s="4" t="s">
        <v>52</v>
      </c>
      <c r="F321" s="5" t="n">
        <v>629530</v>
      </c>
      <c r="G321" s="6" t="n">
        <f aca="false">G320+IF(E321="Credit",F321,IF(E321="Debit",-F321,0))</f>
        <v>8287241</v>
      </c>
      <c r="H321" s="4" t="s">
        <v>99</v>
      </c>
      <c r="I321" s="2" t="s">
        <v>1306</v>
      </c>
      <c r="J321" s="2" t="s">
        <v>1307</v>
      </c>
      <c r="K321" s="4" t="s">
        <v>533</v>
      </c>
      <c r="L321" s="2" t="s">
        <v>534</v>
      </c>
      <c r="M321" s="4" t="s">
        <v>58</v>
      </c>
      <c r="N321" s="2" t="s">
        <v>1308</v>
      </c>
      <c r="O321" s="2" t="s">
        <v>60</v>
      </c>
      <c r="P321" s="2" t="s">
        <v>80</v>
      </c>
      <c r="Q321" s="2" t="s">
        <v>1309</v>
      </c>
      <c r="R321" s="4" t="s">
        <v>30</v>
      </c>
      <c r="S321" s="5" t="n">
        <v>96030</v>
      </c>
      <c r="T321" s="2"/>
    </row>
    <row r="322" customFormat="false" ht="15" hidden="false" customHeight="false" outlineLevel="0" collapsed="false">
      <c r="A322" s="2" t="s">
        <v>1310</v>
      </c>
      <c r="B322" s="3" t="n">
        <v>46000</v>
      </c>
      <c r="C322" s="3" t="n">
        <v>46000</v>
      </c>
      <c r="D322" s="2" t="s">
        <v>21</v>
      </c>
      <c r="E322" s="4" t="s">
        <v>33</v>
      </c>
      <c r="F322" s="5" t="n">
        <v>166320</v>
      </c>
      <c r="G322" s="6" t="n">
        <f aca="false">G321+IF(E322="Credit",F322,IF(E322="Debit",-F322,0))</f>
        <v>8120921</v>
      </c>
      <c r="H322" s="4" t="s">
        <v>180</v>
      </c>
      <c r="I322" s="2" t="s">
        <v>725</v>
      </c>
      <c r="J322" s="2" t="s">
        <v>1311</v>
      </c>
      <c r="K322" s="4" t="s">
        <v>376</v>
      </c>
      <c r="L322" s="2" t="s">
        <v>377</v>
      </c>
      <c r="M322" s="4" t="s">
        <v>38</v>
      </c>
      <c r="N322" s="2" t="s">
        <v>1312</v>
      </c>
      <c r="O322" s="2" t="s">
        <v>160</v>
      </c>
      <c r="P322" s="2" t="s">
        <v>728</v>
      </c>
      <c r="Q322" s="2" t="s">
        <v>1313</v>
      </c>
      <c r="R322" s="4" t="s">
        <v>30</v>
      </c>
      <c r="S322" s="5" t="n">
        <v>7920</v>
      </c>
      <c r="T322" s="2" t="s">
        <v>1314</v>
      </c>
    </row>
    <row r="323" customFormat="false" ht="15" hidden="false" customHeight="false" outlineLevel="0" collapsed="false">
      <c r="A323" s="2" t="s">
        <v>1315</v>
      </c>
      <c r="B323" s="3" t="n">
        <v>46001</v>
      </c>
      <c r="C323" s="3" t="n">
        <v>46001</v>
      </c>
      <c r="D323" s="2" t="s">
        <v>21</v>
      </c>
      <c r="E323" s="4" t="s">
        <v>52</v>
      </c>
      <c r="F323" s="5" t="n">
        <v>41400</v>
      </c>
      <c r="G323" s="6" t="n">
        <f aca="false">G322+IF(E323="Credit",F323,IF(E323="Debit",-F323,0))</f>
        <v>8162321</v>
      </c>
      <c r="H323" s="4" t="s">
        <v>99</v>
      </c>
      <c r="I323" s="2" t="s">
        <v>1316</v>
      </c>
      <c r="J323" s="2" t="s">
        <v>1317</v>
      </c>
      <c r="K323" s="4" t="s">
        <v>465</v>
      </c>
      <c r="L323" s="2" t="s">
        <v>466</v>
      </c>
      <c r="M323" s="4" t="s">
        <v>58</v>
      </c>
      <c r="N323" s="2" t="s">
        <v>1318</v>
      </c>
      <c r="O323" s="2" t="s">
        <v>60</v>
      </c>
      <c r="P323" s="2" t="s">
        <v>1033</v>
      </c>
      <c r="Q323" s="2" t="s">
        <v>1319</v>
      </c>
      <c r="R323" s="4" t="s">
        <v>30</v>
      </c>
      <c r="S323" s="5" t="n">
        <v>6315</v>
      </c>
      <c r="T323" s="2" t="s">
        <v>407</v>
      </c>
    </row>
    <row r="324" customFormat="false" ht="15" hidden="false" customHeight="false" outlineLevel="0" collapsed="false">
      <c r="A324" s="2" t="s">
        <v>1320</v>
      </c>
      <c r="B324" s="3" t="n">
        <v>46001</v>
      </c>
      <c r="C324" s="3" t="n">
        <v>46001</v>
      </c>
      <c r="D324" s="2" t="s">
        <v>21</v>
      </c>
      <c r="E324" s="4" t="s">
        <v>52</v>
      </c>
      <c r="F324" s="5" t="n">
        <v>158100</v>
      </c>
      <c r="G324" s="6" t="n">
        <f aca="false">G323+IF(E324="Credit",F324,IF(E324="Debit",-F324,0))</f>
        <v>8320421</v>
      </c>
      <c r="H324" s="4" t="s">
        <v>99</v>
      </c>
      <c r="I324" s="2" t="s">
        <v>945</v>
      </c>
      <c r="J324" s="2" t="s">
        <v>1321</v>
      </c>
      <c r="K324" s="4" t="s">
        <v>947</v>
      </c>
      <c r="L324" s="2" t="s">
        <v>948</v>
      </c>
      <c r="M324" s="4" t="s">
        <v>58</v>
      </c>
      <c r="N324" s="2" t="s">
        <v>1322</v>
      </c>
      <c r="O324" s="2" t="s">
        <v>60</v>
      </c>
      <c r="P324" s="2" t="s">
        <v>318</v>
      </c>
      <c r="Q324" s="2" t="s">
        <v>1323</v>
      </c>
      <c r="R324" s="4" t="s">
        <v>30</v>
      </c>
      <c r="S324" s="5" t="n">
        <v>16939</v>
      </c>
      <c r="T324" s="2" t="s">
        <v>407</v>
      </c>
    </row>
    <row r="325" customFormat="false" ht="15" hidden="false" customHeight="false" outlineLevel="0" collapsed="false">
      <c r="A325" s="2" t="s">
        <v>1324</v>
      </c>
      <c r="B325" s="3" t="n">
        <v>46001</v>
      </c>
      <c r="C325" s="3" t="n">
        <v>46001</v>
      </c>
      <c r="D325" s="2" t="s">
        <v>21</v>
      </c>
      <c r="E325" s="4" t="s">
        <v>33</v>
      </c>
      <c r="F325" s="5" t="n">
        <v>61900</v>
      </c>
      <c r="G325" s="6" t="n">
        <f aca="false">G324+IF(E325="Credit",F325,IF(E325="Debit",-F325,0))</f>
        <v>8258521</v>
      </c>
      <c r="H325" s="4" t="s">
        <v>115</v>
      </c>
      <c r="I325" s="2" t="s">
        <v>116</v>
      </c>
      <c r="J325" s="2" t="s">
        <v>1325</v>
      </c>
      <c r="K325" s="4" t="s">
        <v>118</v>
      </c>
      <c r="L325" s="2" t="s">
        <v>119</v>
      </c>
      <c r="M325" s="4" t="s">
        <v>38</v>
      </c>
      <c r="N325" s="2" t="s">
        <v>1326</v>
      </c>
      <c r="O325" s="2" t="s">
        <v>121</v>
      </c>
      <c r="P325" s="2" t="s">
        <v>122</v>
      </c>
      <c r="Q325" s="2"/>
      <c r="R325" s="4" t="s">
        <v>30</v>
      </c>
      <c r="S325" s="5" t="n">
        <v>0</v>
      </c>
      <c r="T325" s="2"/>
    </row>
    <row r="326" customFormat="false" ht="15" hidden="false" customHeight="false" outlineLevel="0" collapsed="false">
      <c r="A326" s="2" t="s">
        <v>1327</v>
      </c>
      <c r="B326" s="3" t="n">
        <v>46004</v>
      </c>
      <c r="C326" s="3" t="n">
        <v>46004</v>
      </c>
      <c r="D326" s="2" t="s">
        <v>21</v>
      </c>
      <c r="E326" s="4" t="s">
        <v>33</v>
      </c>
      <c r="F326" s="5" t="n">
        <v>12900</v>
      </c>
      <c r="G326" s="6" t="n">
        <f aca="false">G325+IF(E326="Credit",F326,IF(E326="Debit",-F326,0))</f>
        <v>8245621</v>
      </c>
      <c r="H326" s="4" t="s">
        <v>34</v>
      </c>
      <c r="I326" s="2" t="s">
        <v>124</v>
      </c>
      <c r="J326" s="2" t="s">
        <v>125</v>
      </c>
      <c r="K326" s="4" t="s">
        <v>376</v>
      </c>
      <c r="L326" s="2" t="s">
        <v>377</v>
      </c>
      <c r="M326" s="4" t="s">
        <v>38</v>
      </c>
      <c r="N326" s="2" t="s">
        <v>1328</v>
      </c>
      <c r="O326" s="2" t="s">
        <v>129</v>
      </c>
      <c r="P326" s="2" t="s">
        <v>130</v>
      </c>
      <c r="Q326" s="2"/>
      <c r="R326" s="4" t="s">
        <v>30</v>
      </c>
      <c r="S326" s="5" t="n">
        <v>0</v>
      </c>
      <c r="T326" s="2"/>
    </row>
    <row r="327" customFormat="false" ht="15" hidden="false" customHeight="false" outlineLevel="0" collapsed="false">
      <c r="A327" s="2" t="s">
        <v>1329</v>
      </c>
      <c r="B327" s="3" t="n">
        <v>46005</v>
      </c>
      <c r="C327" s="3" t="n">
        <v>46005</v>
      </c>
      <c r="D327" s="2" t="s">
        <v>21</v>
      </c>
      <c r="E327" s="4" t="s">
        <v>33</v>
      </c>
      <c r="F327" s="5" t="n">
        <v>61950</v>
      </c>
      <c r="G327" s="6" t="n">
        <f aca="false">G326+IF(E327="Credit",F327,IF(E327="Debit",-F327,0))</f>
        <v>8183671</v>
      </c>
      <c r="H327" s="4" t="s">
        <v>53</v>
      </c>
      <c r="I327" s="2" t="s">
        <v>1330</v>
      </c>
      <c r="J327" s="2" t="s">
        <v>1331</v>
      </c>
      <c r="K327" s="4" t="s">
        <v>631</v>
      </c>
      <c r="L327" s="2" t="s">
        <v>632</v>
      </c>
      <c r="M327" s="4" t="s">
        <v>38</v>
      </c>
      <c r="N327" s="2" t="s">
        <v>1332</v>
      </c>
      <c r="O327" s="2" t="s">
        <v>160</v>
      </c>
      <c r="P327" s="2" t="s">
        <v>996</v>
      </c>
      <c r="Q327" s="2" t="s">
        <v>1333</v>
      </c>
      <c r="R327" s="4" t="s">
        <v>30</v>
      </c>
      <c r="S327" s="5" t="n">
        <v>9450</v>
      </c>
      <c r="T327" s="2" t="s">
        <v>1334</v>
      </c>
    </row>
    <row r="328" customFormat="false" ht="15" hidden="false" customHeight="false" outlineLevel="0" collapsed="false">
      <c r="A328" s="2" t="s">
        <v>1335</v>
      </c>
      <c r="B328" s="3" t="n">
        <v>46005</v>
      </c>
      <c r="C328" s="3" t="n">
        <v>46005</v>
      </c>
      <c r="D328" s="2" t="s">
        <v>21</v>
      </c>
      <c r="E328" s="4" t="s">
        <v>33</v>
      </c>
      <c r="F328" s="5" t="n">
        <v>28300</v>
      </c>
      <c r="G328" s="6" t="n">
        <f aca="false">G327+IF(E328="Credit",F328,IF(E328="Debit",-F328,0))</f>
        <v>8155371</v>
      </c>
      <c r="H328" s="4" t="s">
        <v>99</v>
      </c>
      <c r="I328" s="2" t="s">
        <v>139</v>
      </c>
      <c r="J328" s="2" t="s">
        <v>1336</v>
      </c>
      <c r="K328" s="4" t="s">
        <v>141</v>
      </c>
      <c r="L328" s="2" t="s">
        <v>142</v>
      </c>
      <c r="M328" s="4" t="s">
        <v>143</v>
      </c>
      <c r="N328" s="2" t="s">
        <v>1337</v>
      </c>
      <c r="O328" s="2" t="s">
        <v>145</v>
      </c>
      <c r="P328" s="2" t="s">
        <v>146</v>
      </c>
      <c r="Q328" s="2"/>
      <c r="R328" s="4" t="s">
        <v>30</v>
      </c>
      <c r="S328" s="5" t="n">
        <v>0</v>
      </c>
      <c r="T328" s="2"/>
    </row>
    <row r="329" customFormat="false" ht="15" hidden="false" customHeight="false" outlineLevel="0" collapsed="false">
      <c r="A329" s="2" t="s">
        <v>1338</v>
      </c>
      <c r="B329" s="3" t="n">
        <v>46006</v>
      </c>
      <c r="C329" s="3" t="n">
        <v>46007</v>
      </c>
      <c r="D329" s="2" t="s">
        <v>21</v>
      </c>
      <c r="E329" s="4" t="s">
        <v>33</v>
      </c>
      <c r="F329" s="5" t="n">
        <v>166320</v>
      </c>
      <c r="G329" s="6" t="n">
        <f aca="false">G328+IF(E329="Credit",F329,IF(E329="Debit",-F329,0))</f>
        <v>7989051</v>
      </c>
      <c r="H329" s="4" t="s">
        <v>348</v>
      </c>
      <c r="I329" s="2" t="s">
        <v>1339</v>
      </c>
      <c r="J329" s="2" t="s">
        <v>1340</v>
      </c>
      <c r="K329" s="4" t="s">
        <v>376</v>
      </c>
      <c r="L329" s="2" t="s">
        <v>377</v>
      </c>
      <c r="M329" s="4" t="s">
        <v>38</v>
      </c>
      <c r="N329" s="2" t="s">
        <v>1341</v>
      </c>
      <c r="O329" s="2" t="s">
        <v>160</v>
      </c>
      <c r="P329" s="2" t="s">
        <v>728</v>
      </c>
      <c r="Q329" s="2" t="s">
        <v>1313</v>
      </c>
      <c r="R329" s="4" t="s">
        <v>30</v>
      </c>
      <c r="S329" s="5" t="n">
        <v>7920</v>
      </c>
      <c r="T329" s="2" t="s">
        <v>1342</v>
      </c>
    </row>
    <row r="330" customFormat="false" ht="15" hidden="false" customHeight="false" outlineLevel="0" collapsed="false">
      <c r="A330" s="2" t="s">
        <v>1343</v>
      </c>
      <c r="B330" s="3" t="n">
        <v>46006</v>
      </c>
      <c r="C330" s="3" t="n">
        <v>46006</v>
      </c>
      <c r="D330" s="2" t="s">
        <v>21</v>
      </c>
      <c r="E330" s="4" t="s">
        <v>33</v>
      </c>
      <c r="F330" s="5" t="n">
        <v>29250</v>
      </c>
      <c r="G330" s="6" t="n">
        <f aca="false">G329+IF(E330="Credit",F330,IF(E330="Debit",-F330,0))</f>
        <v>7959801</v>
      </c>
      <c r="H330" s="4" t="s">
        <v>64</v>
      </c>
      <c r="I330" s="2" t="s">
        <v>148</v>
      </c>
      <c r="J330" s="2" t="s">
        <v>1344</v>
      </c>
      <c r="K330" s="4" t="s">
        <v>150</v>
      </c>
      <c r="L330" s="2" t="s">
        <v>151</v>
      </c>
      <c r="M330" s="4" t="s">
        <v>38</v>
      </c>
      <c r="N330" s="2" t="s">
        <v>1345</v>
      </c>
      <c r="O330" s="2" t="s">
        <v>88</v>
      </c>
      <c r="P330" s="2" t="s">
        <v>153</v>
      </c>
      <c r="Q330" s="2"/>
      <c r="R330" s="4" t="s">
        <v>30</v>
      </c>
      <c r="S330" s="5" t="n">
        <v>0</v>
      </c>
      <c r="T330" s="2"/>
    </row>
    <row r="331" customFormat="false" ht="15" hidden="false" customHeight="false" outlineLevel="0" collapsed="false">
      <c r="A331" s="2" t="s">
        <v>1346</v>
      </c>
      <c r="B331" s="3" t="n">
        <v>46006</v>
      </c>
      <c r="C331" s="3" t="n">
        <v>46006</v>
      </c>
      <c r="D331" s="2" t="s">
        <v>21</v>
      </c>
      <c r="E331" s="4" t="s">
        <v>33</v>
      </c>
      <c r="F331" s="5" t="n">
        <v>308500</v>
      </c>
      <c r="G331" s="6" t="n">
        <f aca="false">G330+IF(E331="Credit",F331,IF(E331="Debit",-F331,0))</f>
        <v>7651301</v>
      </c>
      <c r="H331" s="4" t="s">
        <v>99</v>
      </c>
      <c r="I331" s="2" t="s">
        <v>500</v>
      </c>
      <c r="J331" s="2" t="s">
        <v>1347</v>
      </c>
      <c r="K331" s="4" t="s">
        <v>502</v>
      </c>
      <c r="L331" s="2" t="s">
        <v>503</v>
      </c>
      <c r="M331" s="4" t="s">
        <v>143</v>
      </c>
      <c r="N331" s="2" t="s">
        <v>1348</v>
      </c>
      <c r="O331" s="2" t="s">
        <v>177</v>
      </c>
      <c r="P331" s="2" t="s">
        <v>505</v>
      </c>
      <c r="Q331" s="2"/>
      <c r="R331" s="4" t="s">
        <v>30</v>
      </c>
      <c r="S331" s="5" t="n">
        <v>0</v>
      </c>
      <c r="T331" s="2"/>
    </row>
    <row r="332" customFormat="false" ht="15" hidden="false" customHeight="false" outlineLevel="0" collapsed="false">
      <c r="A332" s="2" t="s">
        <v>1349</v>
      </c>
      <c r="B332" s="3" t="n">
        <v>46006</v>
      </c>
      <c r="C332" s="3" t="n">
        <v>46006</v>
      </c>
      <c r="D332" s="2" t="s">
        <v>21</v>
      </c>
      <c r="E332" s="4" t="s">
        <v>33</v>
      </c>
      <c r="F332" s="5" t="n">
        <v>16900</v>
      </c>
      <c r="G332" s="6" t="n">
        <f aca="false">G331+IF(E332="Credit",F332,IF(E332="Debit",-F332,0))</f>
        <v>7634401</v>
      </c>
      <c r="H332" s="4" t="s">
        <v>74</v>
      </c>
      <c r="I332" s="2" t="s">
        <v>705</v>
      </c>
      <c r="J332" s="2" t="s">
        <v>706</v>
      </c>
      <c r="K332" s="4" t="s">
        <v>376</v>
      </c>
      <c r="L332" s="2" t="s">
        <v>377</v>
      </c>
      <c r="M332" s="4" t="s">
        <v>38</v>
      </c>
      <c r="N332" s="2" t="s">
        <v>1350</v>
      </c>
      <c r="O332" s="2" t="s">
        <v>129</v>
      </c>
      <c r="P332" s="2" t="s">
        <v>130</v>
      </c>
      <c r="Q332" s="2"/>
      <c r="R332" s="4" t="s">
        <v>30</v>
      </c>
      <c r="S332" s="5" t="n">
        <v>0</v>
      </c>
      <c r="T332" s="2"/>
    </row>
    <row r="333" customFormat="false" ht="15" hidden="false" customHeight="false" outlineLevel="0" collapsed="false">
      <c r="A333" s="2" t="s">
        <v>1351</v>
      </c>
      <c r="B333" s="3" t="n">
        <v>46008</v>
      </c>
      <c r="C333" s="3" t="n">
        <v>46008</v>
      </c>
      <c r="D333" s="2" t="s">
        <v>21</v>
      </c>
      <c r="E333" s="4" t="s">
        <v>33</v>
      </c>
      <c r="F333" s="5" t="n">
        <v>20390</v>
      </c>
      <c r="G333" s="6" t="n">
        <f aca="false">G332+IF(E333="Credit",F333,IF(E333="Debit",-F333,0))</f>
        <v>7614011</v>
      </c>
      <c r="H333" s="4" t="s">
        <v>348</v>
      </c>
      <c r="I333" s="2" t="s">
        <v>1352</v>
      </c>
      <c r="J333" s="2" t="s">
        <v>1353</v>
      </c>
      <c r="K333" s="4" t="s">
        <v>907</v>
      </c>
      <c r="L333" s="2" t="s">
        <v>908</v>
      </c>
      <c r="M333" s="4" t="s">
        <v>167</v>
      </c>
      <c r="N333" s="2" t="s">
        <v>1354</v>
      </c>
      <c r="O333" s="2" t="s">
        <v>160</v>
      </c>
      <c r="P333" s="2" t="s">
        <v>1355</v>
      </c>
      <c r="Q333" s="2" t="s">
        <v>1356</v>
      </c>
      <c r="R333" s="4" t="s">
        <v>30</v>
      </c>
      <c r="S333" s="5" t="n">
        <v>3110</v>
      </c>
      <c r="T333" s="2"/>
    </row>
    <row r="334" customFormat="false" ht="15" hidden="false" customHeight="false" outlineLevel="0" collapsed="false">
      <c r="A334" s="2" t="s">
        <v>1357</v>
      </c>
      <c r="B334" s="3" t="n">
        <v>46009</v>
      </c>
      <c r="C334" s="3" t="n">
        <v>46009</v>
      </c>
      <c r="D334" s="2" t="s">
        <v>21</v>
      </c>
      <c r="E334" s="4" t="s">
        <v>52</v>
      </c>
      <c r="F334" s="5" t="n">
        <v>74399</v>
      </c>
      <c r="G334" s="6" t="n">
        <f aca="false">G333+IF(E334="Credit",F334,IF(E334="Debit",-F334,0))</f>
        <v>7688410</v>
      </c>
      <c r="H334" s="4" t="s">
        <v>74</v>
      </c>
      <c r="I334" s="2" t="s">
        <v>1212</v>
      </c>
      <c r="J334" s="2" t="s">
        <v>1358</v>
      </c>
      <c r="K334" s="4" t="s">
        <v>533</v>
      </c>
      <c r="L334" s="2" t="s">
        <v>534</v>
      </c>
      <c r="M334" s="4" t="s">
        <v>58</v>
      </c>
      <c r="N334" s="2" t="s">
        <v>1359</v>
      </c>
      <c r="O334" s="2" t="s">
        <v>60</v>
      </c>
      <c r="P334" s="2" t="s">
        <v>967</v>
      </c>
      <c r="Q334" s="2" t="s">
        <v>1360</v>
      </c>
      <c r="R334" s="4" t="s">
        <v>30</v>
      </c>
      <c r="S334" s="5" t="n">
        <v>11349</v>
      </c>
      <c r="T334" s="2" t="s">
        <v>1361</v>
      </c>
    </row>
    <row r="335" customFormat="false" ht="15" hidden="false" customHeight="false" outlineLevel="0" collapsed="false">
      <c r="A335" s="2" t="s">
        <v>1362</v>
      </c>
      <c r="B335" s="3" t="n">
        <v>46011</v>
      </c>
      <c r="C335" s="3" t="n">
        <v>46011</v>
      </c>
      <c r="D335" s="2" t="s">
        <v>21</v>
      </c>
      <c r="E335" s="4" t="s">
        <v>33</v>
      </c>
      <c r="F335" s="5" t="n">
        <v>600</v>
      </c>
      <c r="G335" s="6" t="n">
        <f aca="false">G334+IF(E335="Credit",F335,IF(E335="Debit",-F335,0))</f>
        <v>7687810</v>
      </c>
      <c r="H335" s="4" t="s">
        <v>53</v>
      </c>
      <c r="I335" s="2" t="s">
        <v>214</v>
      </c>
      <c r="J335" s="2" t="s">
        <v>1363</v>
      </c>
      <c r="K335" s="4" t="s">
        <v>67</v>
      </c>
      <c r="L335" s="2" t="s">
        <v>68</v>
      </c>
      <c r="M335" s="4" t="s">
        <v>69</v>
      </c>
      <c r="N335" s="2" t="s">
        <v>1364</v>
      </c>
      <c r="O335" s="2" t="s">
        <v>96</v>
      </c>
      <c r="P335" s="2" t="s">
        <v>217</v>
      </c>
      <c r="Q335" s="2"/>
      <c r="R335" s="4" t="s">
        <v>30</v>
      </c>
      <c r="S335" s="5" t="n">
        <v>0</v>
      </c>
      <c r="T335" s="2"/>
    </row>
    <row r="336" customFormat="false" ht="15" hidden="false" customHeight="false" outlineLevel="0" collapsed="false">
      <c r="A336" s="2" t="s">
        <v>1365</v>
      </c>
      <c r="B336" s="3" t="n">
        <v>46011</v>
      </c>
      <c r="C336" s="3" t="n">
        <v>46011</v>
      </c>
      <c r="D336" s="2" t="s">
        <v>21</v>
      </c>
      <c r="E336" s="4" t="s">
        <v>33</v>
      </c>
      <c r="F336" s="5" t="n">
        <v>165400</v>
      </c>
      <c r="G336" s="6" t="n">
        <f aca="false">G335+IF(E336="Credit",F336,IF(E336="Debit",-F336,0))</f>
        <v>7522410</v>
      </c>
      <c r="H336" s="4" t="s">
        <v>99</v>
      </c>
      <c r="I336" s="2" t="s">
        <v>172</v>
      </c>
      <c r="J336" s="2" t="s">
        <v>1366</v>
      </c>
      <c r="K336" s="4" t="s">
        <v>174</v>
      </c>
      <c r="L336" s="2" t="s">
        <v>175</v>
      </c>
      <c r="M336" s="4" t="s">
        <v>143</v>
      </c>
      <c r="N336" s="2" t="s">
        <v>1367</v>
      </c>
      <c r="O336" s="2" t="s">
        <v>177</v>
      </c>
      <c r="P336" s="2" t="s">
        <v>178</v>
      </c>
      <c r="Q336" s="2"/>
      <c r="R336" s="4" t="s">
        <v>30</v>
      </c>
      <c r="S336" s="5" t="n">
        <v>0</v>
      </c>
      <c r="T336" s="2"/>
    </row>
    <row r="337" customFormat="false" ht="15" hidden="false" customHeight="false" outlineLevel="0" collapsed="false">
      <c r="A337" s="2" t="s">
        <v>1368</v>
      </c>
      <c r="B337" s="3" t="n">
        <v>46012</v>
      </c>
      <c r="C337" s="3" t="n">
        <v>46012</v>
      </c>
      <c r="D337" s="2" t="s">
        <v>21</v>
      </c>
      <c r="E337" s="4" t="s">
        <v>33</v>
      </c>
      <c r="F337" s="5" t="n">
        <v>10050</v>
      </c>
      <c r="G337" s="6" t="n">
        <f aca="false">G336+IF(E337="Credit",F337,IF(E337="Debit",-F337,0))</f>
        <v>7512360</v>
      </c>
      <c r="H337" s="4" t="s">
        <v>289</v>
      </c>
      <c r="I337" s="2" t="s">
        <v>1063</v>
      </c>
      <c r="J337" s="2" t="s">
        <v>1063</v>
      </c>
      <c r="K337" s="4" t="s">
        <v>36</v>
      </c>
      <c r="L337" s="2" t="s">
        <v>37</v>
      </c>
      <c r="M337" s="4" t="s">
        <v>38</v>
      </c>
      <c r="N337" s="2" t="s">
        <v>1369</v>
      </c>
      <c r="O337" s="2" t="s">
        <v>40</v>
      </c>
      <c r="P337" s="2" t="s">
        <v>41</v>
      </c>
      <c r="Q337" s="2"/>
      <c r="R337" s="4" t="s">
        <v>30</v>
      </c>
      <c r="S337" s="5" t="n">
        <v>0</v>
      </c>
      <c r="T337" s="2"/>
    </row>
    <row r="338" customFormat="false" ht="15" hidden="false" customHeight="false" outlineLevel="0" collapsed="false">
      <c r="A338" s="2" t="s">
        <v>1370</v>
      </c>
      <c r="B338" s="3" t="n">
        <v>46013</v>
      </c>
      <c r="C338" s="3" t="n">
        <v>46013</v>
      </c>
      <c r="D338" s="2" t="s">
        <v>21</v>
      </c>
      <c r="E338" s="4" t="s">
        <v>33</v>
      </c>
      <c r="F338" s="5" t="n">
        <v>61950</v>
      </c>
      <c r="G338" s="6" t="n">
        <f aca="false">G337+IF(E338="Credit",F338,IF(E338="Debit",-F338,0))</f>
        <v>7450410</v>
      </c>
      <c r="H338" s="4" t="s">
        <v>74</v>
      </c>
      <c r="I338" s="2" t="s">
        <v>1371</v>
      </c>
      <c r="J338" s="2" t="s">
        <v>1372</v>
      </c>
      <c r="K338" s="4" t="s">
        <v>631</v>
      </c>
      <c r="L338" s="2" t="s">
        <v>632</v>
      </c>
      <c r="M338" s="4" t="s">
        <v>38</v>
      </c>
      <c r="N338" s="2" t="s">
        <v>1373</v>
      </c>
      <c r="O338" s="2" t="s">
        <v>160</v>
      </c>
      <c r="P338" s="2" t="s">
        <v>996</v>
      </c>
      <c r="Q338" s="2" t="s">
        <v>1333</v>
      </c>
      <c r="R338" s="4" t="s">
        <v>30</v>
      </c>
      <c r="S338" s="5" t="n">
        <v>9450</v>
      </c>
      <c r="T338" s="2" t="s">
        <v>1374</v>
      </c>
    </row>
    <row r="339" customFormat="false" ht="15" hidden="false" customHeight="false" outlineLevel="0" collapsed="false">
      <c r="A339" s="2" t="s">
        <v>1375</v>
      </c>
      <c r="B339" s="3" t="n">
        <v>46017</v>
      </c>
      <c r="C339" s="3" t="n">
        <v>46017</v>
      </c>
      <c r="D339" s="2" t="s">
        <v>21</v>
      </c>
      <c r="E339" s="4" t="s">
        <v>52</v>
      </c>
      <c r="F339" s="5" t="n">
        <v>78668</v>
      </c>
      <c r="G339" s="6" t="n">
        <f aca="false">G338+IF(E339="Credit",F339,IF(E339="Debit",-F339,0))</f>
        <v>7529078</v>
      </c>
      <c r="H339" s="4" t="s">
        <v>99</v>
      </c>
      <c r="I339" s="2" t="s">
        <v>945</v>
      </c>
      <c r="J339" s="2" t="s">
        <v>1376</v>
      </c>
      <c r="K339" s="4" t="s">
        <v>947</v>
      </c>
      <c r="L339" s="2" t="s">
        <v>948</v>
      </c>
      <c r="M339" s="4" t="s">
        <v>58</v>
      </c>
      <c r="N339" s="2" t="s">
        <v>1377</v>
      </c>
      <c r="O339" s="2" t="s">
        <v>60</v>
      </c>
      <c r="P339" s="2" t="s">
        <v>1033</v>
      </c>
      <c r="Q339" s="2" t="s">
        <v>1182</v>
      </c>
      <c r="R339" s="4" t="s">
        <v>30</v>
      </c>
      <c r="S339" s="5" t="n">
        <v>12000</v>
      </c>
      <c r="T339" s="2" t="s">
        <v>1378</v>
      </c>
    </row>
    <row r="340" customFormat="false" ht="15" hidden="false" customHeight="false" outlineLevel="0" collapsed="false">
      <c r="A340" s="2" t="s">
        <v>1379</v>
      </c>
      <c r="B340" s="3" t="n">
        <v>46017</v>
      </c>
      <c r="C340" s="3" t="n">
        <v>46017</v>
      </c>
      <c r="D340" s="2" t="s">
        <v>21</v>
      </c>
      <c r="E340" s="4" t="s">
        <v>33</v>
      </c>
      <c r="F340" s="5" t="n">
        <v>2700</v>
      </c>
      <c r="G340" s="6" t="n">
        <f aca="false">G339+IF(E340="Credit",F340,IF(E340="Debit",-F340,0))</f>
        <v>7526378</v>
      </c>
      <c r="H340" s="4" t="s">
        <v>34</v>
      </c>
      <c r="I340" s="2" t="s">
        <v>742</v>
      </c>
      <c r="J340" s="2" t="s">
        <v>743</v>
      </c>
      <c r="K340" s="4" t="s">
        <v>376</v>
      </c>
      <c r="L340" s="2" t="s">
        <v>377</v>
      </c>
      <c r="M340" s="4" t="s">
        <v>38</v>
      </c>
      <c r="N340" s="2" t="s">
        <v>1380</v>
      </c>
      <c r="O340" s="2" t="s">
        <v>129</v>
      </c>
      <c r="P340" s="2" t="s">
        <v>130</v>
      </c>
      <c r="Q340" s="2"/>
      <c r="R340" s="4" t="s">
        <v>30</v>
      </c>
      <c r="S340" s="5" t="n">
        <v>0</v>
      </c>
      <c r="T340" s="2"/>
    </row>
    <row r="341" customFormat="false" ht="15" hidden="false" customHeight="false" outlineLevel="0" collapsed="false">
      <c r="A341" s="2" t="s">
        <v>1381</v>
      </c>
      <c r="B341" s="3" t="n">
        <v>46018</v>
      </c>
      <c r="C341" s="3" t="n">
        <v>46018</v>
      </c>
      <c r="D341" s="2" t="s">
        <v>21</v>
      </c>
      <c r="E341" s="4" t="s">
        <v>33</v>
      </c>
      <c r="F341" s="5" t="n">
        <v>246400</v>
      </c>
      <c r="G341" s="6" t="n">
        <f aca="false">G340+IF(E341="Credit",F341,IF(E341="Debit",-F341,0))</f>
        <v>7279978</v>
      </c>
      <c r="H341" s="4" t="s">
        <v>99</v>
      </c>
      <c r="I341" s="2" t="s">
        <v>1382</v>
      </c>
      <c r="J341" s="2" t="s">
        <v>1383</v>
      </c>
      <c r="K341" s="4" t="s">
        <v>1384</v>
      </c>
      <c r="L341" s="2" t="s">
        <v>1385</v>
      </c>
      <c r="M341" s="4" t="s">
        <v>167</v>
      </c>
      <c r="N341" s="2" t="s">
        <v>1386</v>
      </c>
      <c r="O341" s="2" t="s">
        <v>160</v>
      </c>
      <c r="P341" s="2" t="s">
        <v>1387</v>
      </c>
      <c r="Q341" s="2" t="s">
        <v>1388</v>
      </c>
      <c r="R341" s="4" t="s">
        <v>30</v>
      </c>
      <c r="S341" s="5" t="n">
        <v>26400</v>
      </c>
      <c r="T341" s="2"/>
    </row>
    <row r="342" customFormat="false" ht="15" hidden="false" customHeight="false" outlineLevel="0" collapsed="false">
      <c r="A342" s="2" t="s">
        <v>1389</v>
      </c>
      <c r="B342" s="3" t="n">
        <v>46019</v>
      </c>
      <c r="C342" s="3" t="n">
        <v>46019</v>
      </c>
      <c r="D342" s="2" t="s">
        <v>21</v>
      </c>
      <c r="E342" s="4" t="s">
        <v>52</v>
      </c>
      <c r="F342" s="5" t="n">
        <v>273500</v>
      </c>
      <c r="G342" s="6" t="n">
        <f aca="false">G341+IF(E342="Credit",F342,IF(E342="Debit",-F342,0))</f>
        <v>7553478</v>
      </c>
      <c r="H342" s="4" t="s">
        <v>180</v>
      </c>
      <c r="I342" s="2" t="s">
        <v>1390</v>
      </c>
      <c r="J342" s="2" t="s">
        <v>1391</v>
      </c>
      <c r="K342" s="4" t="s">
        <v>1230</v>
      </c>
      <c r="L342" s="2" t="s">
        <v>1231</v>
      </c>
      <c r="M342" s="4" t="s">
        <v>58</v>
      </c>
      <c r="N342" s="2" t="s">
        <v>1392</v>
      </c>
      <c r="O342" s="2" t="s">
        <v>60</v>
      </c>
      <c r="P342" s="2" t="s">
        <v>195</v>
      </c>
      <c r="Q342" s="2" t="s">
        <v>1393</v>
      </c>
      <c r="R342" s="4" t="s">
        <v>30</v>
      </c>
      <c r="S342" s="5" t="n">
        <v>41720</v>
      </c>
      <c r="T342" s="2" t="s">
        <v>407</v>
      </c>
    </row>
    <row r="343" customFormat="false" ht="15" hidden="false" customHeight="false" outlineLevel="0" collapsed="false">
      <c r="A343" s="2" t="s">
        <v>1394</v>
      </c>
      <c r="B343" s="3" t="n">
        <v>46019</v>
      </c>
      <c r="C343" s="3" t="n">
        <v>46019</v>
      </c>
      <c r="D343" s="2" t="s">
        <v>21</v>
      </c>
      <c r="E343" s="4" t="s">
        <v>33</v>
      </c>
      <c r="F343" s="5" t="n">
        <v>59000</v>
      </c>
      <c r="G343" s="6" t="n">
        <f aca="false">G342+IF(E343="Credit",F343,IF(E343="Debit",-F343,0))</f>
        <v>7494478</v>
      </c>
      <c r="H343" s="4" t="s">
        <v>53</v>
      </c>
      <c r="I343" s="2" t="s">
        <v>1111</v>
      </c>
      <c r="J343" s="2" t="s">
        <v>1395</v>
      </c>
      <c r="K343" s="4" t="s">
        <v>664</v>
      </c>
      <c r="L343" s="2" t="s">
        <v>665</v>
      </c>
      <c r="M343" s="4" t="s">
        <v>38</v>
      </c>
      <c r="N343" s="2" t="s">
        <v>1396</v>
      </c>
      <c r="O343" s="2" t="s">
        <v>160</v>
      </c>
      <c r="P343" s="2" t="s">
        <v>667</v>
      </c>
      <c r="Q343" s="2" t="s">
        <v>1397</v>
      </c>
      <c r="R343" s="4" t="s">
        <v>30</v>
      </c>
      <c r="S343" s="5" t="n">
        <v>9000</v>
      </c>
      <c r="T343" s="2"/>
    </row>
    <row r="344" customFormat="false" ht="15" hidden="false" customHeight="false" outlineLevel="0" collapsed="false">
      <c r="A344" s="2" t="s">
        <v>1398</v>
      </c>
      <c r="B344" s="3" t="n">
        <v>46019</v>
      </c>
      <c r="C344" s="3" t="n">
        <v>46019</v>
      </c>
      <c r="D344" s="2" t="s">
        <v>21</v>
      </c>
      <c r="E344" s="4" t="s">
        <v>33</v>
      </c>
      <c r="F344" s="5" t="n">
        <v>67500</v>
      </c>
      <c r="G344" s="6" t="n">
        <f aca="false">G343+IF(E344="Credit",F344,IF(E344="Debit",-F344,0))</f>
        <v>7426978</v>
      </c>
      <c r="H344" s="4" t="s">
        <v>53</v>
      </c>
      <c r="I344" s="2" t="s">
        <v>219</v>
      </c>
      <c r="J344" s="2" t="s">
        <v>1399</v>
      </c>
      <c r="K344" s="4" t="s">
        <v>221</v>
      </c>
      <c r="L344" s="2" t="s">
        <v>222</v>
      </c>
      <c r="M344" s="4" t="s">
        <v>223</v>
      </c>
      <c r="N344" s="2" t="s">
        <v>1400</v>
      </c>
      <c r="O344" s="2" t="s">
        <v>225</v>
      </c>
      <c r="P344" s="2" t="s">
        <v>226</v>
      </c>
      <c r="Q344" s="2"/>
      <c r="R344" s="4" t="s">
        <v>30</v>
      </c>
      <c r="S344" s="5" t="n">
        <v>0</v>
      </c>
      <c r="T344" s="2"/>
    </row>
    <row r="345" customFormat="false" ht="15" hidden="false" customHeight="false" outlineLevel="0" collapsed="false">
      <c r="A345" s="2" t="s">
        <v>1401</v>
      </c>
      <c r="B345" s="3" t="n">
        <v>46019</v>
      </c>
      <c r="C345" s="3" t="n">
        <v>46019</v>
      </c>
      <c r="D345" s="2" t="s">
        <v>21</v>
      </c>
      <c r="E345" s="4" t="s">
        <v>33</v>
      </c>
      <c r="F345" s="5" t="n">
        <v>93500</v>
      </c>
      <c r="G345" s="6" t="n">
        <f aca="false">G344+IF(E345="Credit",F345,IF(E345="Debit",-F345,0))</f>
        <v>7333478</v>
      </c>
      <c r="H345" s="4" t="s">
        <v>53</v>
      </c>
      <c r="I345" s="2" t="s">
        <v>228</v>
      </c>
      <c r="J345" s="2" t="s">
        <v>1399</v>
      </c>
      <c r="K345" s="4" t="s">
        <v>229</v>
      </c>
      <c r="L345" s="2" t="s">
        <v>230</v>
      </c>
      <c r="M345" s="4" t="s">
        <v>223</v>
      </c>
      <c r="N345" s="2" t="s">
        <v>1402</v>
      </c>
      <c r="O345" s="2" t="s">
        <v>225</v>
      </c>
      <c r="P345" s="2" t="s">
        <v>226</v>
      </c>
      <c r="Q345" s="2"/>
      <c r="R345" s="4" t="s">
        <v>30</v>
      </c>
      <c r="S345" s="5" t="n">
        <v>0</v>
      </c>
      <c r="T345" s="2"/>
    </row>
    <row r="346" customFormat="false" ht="15" hidden="false" customHeight="false" outlineLevel="0" collapsed="false">
      <c r="A346" s="2" t="s">
        <v>1403</v>
      </c>
      <c r="B346" s="3" t="n">
        <v>46019</v>
      </c>
      <c r="C346" s="3" t="n">
        <v>46019</v>
      </c>
      <c r="D346" s="2" t="s">
        <v>21</v>
      </c>
      <c r="E346" s="4" t="s">
        <v>33</v>
      </c>
      <c r="F346" s="5" t="n">
        <v>119000</v>
      </c>
      <c r="G346" s="6" t="n">
        <f aca="false">G345+IF(E346="Credit",F346,IF(E346="Debit",-F346,0))</f>
        <v>7214478</v>
      </c>
      <c r="H346" s="4" t="s">
        <v>53</v>
      </c>
      <c r="I346" s="2" t="s">
        <v>233</v>
      </c>
      <c r="J346" s="2" t="s">
        <v>1399</v>
      </c>
      <c r="K346" s="4" t="s">
        <v>234</v>
      </c>
      <c r="L346" s="2" t="s">
        <v>235</v>
      </c>
      <c r="M346" s="4" t="s">
        <v>223</v>
      </c>
      <c r="N346" s="2" t="s">
        <v>1404</v>
      </c>
      <c r="O346" s="2" t="s">
        <v>225</v>
      </c>
      <c r="P346" s="2" t="s">
        <v>237</v>
      </c>
      <c r="Q346" s="2"/>
      <c r="R346" s="4" t="s">
        <v>30</v>
      </c>
      <c r="S346" s="5" t="n">
        <v>0</v>
      </c>
      <c r="T346" s="2"/>
    </row>
    <row r="347" customFormat="false" ht="15" hidden="false" customHeight="false" outlineLevel="0" collapsed="false">
      <c r="A347" s="2" t="s">
        <v>1405</v>
      </c>
      <c r="B347" s="3" t="n">
        <v>46019</v>
      </c>
      <c r="C347" s="3" t="n">
        <v>46019</v>
      </c>
      <c r="D347" s="2" t="s">
        <v>21</v>
      </c>
      <c r="E347" s="4" t="s">
        <v>33</v>
      </c>
      <c r="F347" s="5" t="n">
        <v>72700</v>
      </c>
      <c r="G347" s="6" t="n">
        <f aca="false">G346+IF(E347="Credit",F347,IF(E347="Debit",-F347,0))</f>
        <v>7141778</v>
      </c>
      <c r="H347" s="4" t="s">
        <v>53</v>
      </c>
      <c r="I347" s="2" t="s">
        <v>239</v>
      </c>
      <c r="J347" s="2" t="s">
        <v>1399</v>
      </c>
      <c r="K347" s="4" t="s">
        <v>240</v>
      </c>
      <c r="L347" s="2" t="s">
        <v>241</v>
      </c>
      <c r="M347" s="4" t="s">
        <v>223</v>
      </c>
      <c r="N347" s="2" t="s">
        <v>1406</v>
      </c>
      <c r="O347" s="2" t="s">
        <v>225</v>
      </c>
      <c r="P347" s="2" t="s">
        <v>243</v>
      </c>
      <c r="Q347" s="2"/>
      <c r="R347" s="4" t="s">
        <v>30</v>
      </c>
      <c r="S347" s="5" t="n">
        <v>0</v>
      </c>
      <c r="T347" s="2"/>
    </row>
    <row r="348" customFormat="false" ht="15" hidden="false" customHeight="false" outlineLevel="0" collapsed="false">
      <c r="A348" s="2" t="s">
        <v>1407</v>
      </c>
      <c r="B348" s="3" t="n">
        <v>46019</v>
      </c>
      <c r="C348" s="3" t="n">
        <v>46019</v>
      </c>
      <c r="D348" s="2" t="s">
        <v>21</v>
      </c>
      <c r="E348" s="4" t="s">
        <v>33</v>
      </c>
      <c r="F348" s="5" t="n">
        <v>93800</v>
      </c>
      <c r="G348" s="6" t="n">
        <f aca="false">G347+IF(E348="Credit",F348,IF(E348="Debit",-F348,0))</f>
        <v>7047978</v>
      </c>
      <c r="H348" s="4" t="s">
        <v>53</v>
      </c>
      <c r="I348" s="2" t="s">
        <v>245</v>
      </c>
      <c r="J348" s="2" t="s">
        <v>1399</v>
      </c>
      <c r="K348" s="4" t="s">
        <v>246</v>
      </c>
      <c r="L348" s="2" t="s">
        <v>247</v>
      </c>
      <c r="M348" s="4" t="s">
        <v>223</v>
      </c>
      <c r="N348" s="2" t="s">
        <v>1408</v>
      </c>
      <c r="O348" s="2" t="s">
        <v>225</v>
      </c>
      <c r="P348" s="2" t="s">
        <v>226</v>
      </c>
      <c r="Q348" s="2"/>
      <c r="R348" s="4" t="s">
        <v>30</v>
      </c>
      <c r="S348" s="5" t="n">
        <v>0</v>
      </c>
      <c r="T348" s="2"/>
    </row>
    <row r="349" customFormat="false" ht="15" hidden="false" customHeight="false" outlineLevel="0" collapsed="false">
      <c r="A349" s="2" t="s">
        <v>1409</v>
      </c>
      <c r="B349" s="3" t="n">
        <v>46019</v>
      </c>
      <c r="C349" s="3" t="n">
        <v>46019</v>
      </c>
      <c r="D349" s="2" t="s">
        <v>21</v>
      </c>
      <c r="E349" s="4" t="s">
        <v>33</v>
      </c>
      <c r="F349" s="5" t="n">
        <v>60800</v>
      </c>
      <c r="G349" s="6" t="n">
        <f aca="false">G348+IF(E349="Credit",F349,IF(E349="Debit",-F349,0))</f>
        <v>6987178</v>
      </c>
      <c r="H349" s="4" t="s">
        <v>53</v>
      </c>
      <c r="I349" s="2" t="s">
        <v>250</v>
      </c>
      <c r="J349" s="2" t="s">
        <v>1399</v>
      </c>
      <c r="K349" s="4" t="s">
        <v>251</v>
      </c>
      <c r="L349" s="2" t="s">
        <v>252</v>
      </c>
      <c r="M349" s="4" t="s">
        <v>223</v>
      </c>
      <c r="N349" s="2" t="s">
        <v>1410</v>
      </c>
      <c r="O349" s="2" t="s">
        <v>225</v>
      </c>
      <c r="P349" s="2" t="s">
        <v>226</v>
      </c>
      <c r="Q349" s="2"/>
      <c r="R349" s="4" t="s">
        <v>30</v>
      </c>
      <c r="S349" s="5" t="n">
        <v>0</v>
      </c>
      <c r="T349" s="2"/>
    </row>
    <row r="350" customFormat="false" ht="15" hidden="false" customHeight="false" outlineLevel="0" collapsed="false">
      <c r="A350" s="2" t="s">
        <v>1411</v>
      </c>
      <c r="B350" s="3" t="n">
        <v>46019</v>
      </c>
      <c r="C350" s="3" t="n">
        <v>46019</v>
      </c>
      <c r="D350" s="2" t="s">
        <v>21</v>
      </c>
      <c r="E350" s="4" t="s">
        <v>33</v>
      </c>
      <c r="F350" s="5" t="n">
        <v>78800</v>
      </c>
      <c r="G350" s="6" t="n">
        <f aca="false">G349+IF(E350="Credit",F350,IF(E350="Debit",-F350,0))</f>
        <v>6908378</v>
      </c>
      <c r="H350" s="4" t="s">
        <v>53</v>
      </c>
      <c r="I350" s="2" t="s">
        <v>255</v>
      </c>
      <c r="J350" s="2" t="s">
        <v>1399</v>
      </c>
      <c r="K350" s="4" t="s">
        <v>256</v>
      </c>
      <c r="L350" s="2" t="s">
        <v>257</v>
      </c>
      <c r="M350" s="4" t="s">
        <v>223</v>
      </c>
      <c r="N350" s="2" t="s">
        <v>1412</v>
      </c>
      <c r="O350" s="2" t="s">
        <v>225</v>
      </c>
      <c r="P350" s="2" t="s">
        <v>237</v>
      </c>
      <c r="Q350" s="2"/>
      <c r="R350" s="4" t="s">
        <v>30</v>
      </c>
      <c r="S350" s="5" t="n">
        <v>0</v>
      </c>
      <c r="T350" s="2"/>
    </row>
    <row r="351" customFormat="false" ht="15" hidden="false" customHeight="false" outlineLevel="0" collapsed="false">
      <c r="A351" s="2" t="s">
        <v>1413</v>
      </c>
      <c r="B351" s="3" t="n">
        <v>46019</v>
      </c>
      <c r="C351" s="3" t="n">
        <v>46019</v>
      </c>
      <c r="D351" s="2" t="s">
        <v>21</v>
      </c>
      <c r="E351" s="4" t="s">
        <v>33</v>
      </c>
      <c r="F351" s="5" t="n">
        <v>86200</v>
      </c>
      <c r="G351" s="6" t="n">
        <f aca="false">G350+IF(E351="Credit",F351,IF(E351="Debit",-F351,0))</f>
        <v>6822178</v>
      </c>
      <c r="H351" s="4" t="s">
        <v>53</v>
      </c>
      <c r="I351" s="2" t="s">
        <v>260</v>
      </c>
      <c r="J351" s="2" t="s">
        <v>1399</v>
      </c>
      <c r="K351" s="4" t="s">
        <v>261</v>
      </c>
      <c r="L351" s="2" t="s">
        <v>262</v>
      </c>
      <c r="M351" s="4" t="s">
        <v>223</v>
      </c>
      <c r="N351" s="2" t="s">
        <v>1414</v>
      </c>
      <c r="O351" s="2" t="s">
        <v>225</v>
      </c>
      <c r="P351" s="2" t="s">
        <v>264</v>
      </c>
      <c r="Q351" s="2"/>
      <c r="R351" s="4" t="s">
        <v>30</v>
      </c>
      <c r="S351" s="5" t="n">
        <v>0</v>
      </c>
      <c r="T351" s="2"/>
    </row>
    <row r="352" customFormat="false" ht="15" hidden="false" customHeight="false" outlineLevel="0" collapsed="false">
      <c r="A352" s="2" t="s">
        <v>1415</v>
      </c>
      <c r="B352" s="3" t="n">
        <v>46019</v>
      </c>
      <c r="C352" s="3" t="n">
        <v>46019</v>
      </c>
      <c r="D352" s="2" t="s">
        <v>21</v>
      </c>
      <c r="E352" s="4" t="s">
        <v>33</v>
      </c>
      <c r="F352" s="5" t="n">
        <v>57500</v>
      </c>
      <c r="G352" s="6" t="n">
        <f aca="false">G351+IF(E352="Credit",F352,IF(E352="Debit",-F352,0))</f>
        <v>6764678</v>
      </c>
      <c r="H352" s="4" t="s">
        <v>53</v>
      </c>
      <c r="I352" s="2" t="s">
        <v>266</v>
      </c>
      <c r="J352" s="2" t="s">
        <v>1399</v>
      </c>
      <c r="K352" s="4" t="s">
        <v>267</v>
      </c>
      <c r="L352" s="2" t="s">
        <v>268</v>
      </c>
      <c r="M352" s="4" t="s">
        <v>223</v>
      </c>
      <c r="N352" s="2" t="s">
        <v>1416</v>
      </c>
      <c r="O352" s="2" t="s">
        <v>225</v>
      </c>
      <c r="P352" s="2" t="s">
        <v>270</v>
      </c>
      <c r="Q352" s="2"/>
      <c r="R352" s="4" t="s">
        <v>30</v>
      </c>
      <c r="S352" s="5" t="n">
        <v>0</v>
      </c>
      <c r="T352" s="2"/>
    </row>
    <row r="353" customFormat="false" ht="15" hidden="false" customHeight="false" outlineLevel="0" collapsed="false">
      <c r="A353" s="2" t="s">
        <v>1417</v>
      </c>
      <c r="B353" s="3" t="n">
        <v>46019</v>
      </c>
      <c r="C353" s="3" t="n">
        <v>46019</v>
      </c>
      <c r="D353" s="2" t="s">
        <v>21</v>
      </c>
      <c r="E353" s="4" t="s">
        <v>33</v>
      </c>
      <c r="F353" s="5" t="n">
        <v>82000</v>
      </c>
      <c r="G353" s="6" t="n">
        <f aca="false">G352+IF(E353="Credit",F353,IF(E353="Debit",-F353,0))</f>
        <v>6682678</v>
      </c>
      <c r="H353" s="4" t="s">
        <v>53</v>
      </c>
      <c r="I353" s="2" t="s">
        <v>272</v>
      </c>
      <c r="J353" s="2" t="s">
        <v>1399</v>
      </c>
      <c r="K353" s="4" t="s">
        <v>273</v>
      </c>
      <c r="L353" s="2" t="s">
        <v>274</v>
      </c>
      <c r="M353" s="4" t="s">
        <v>223</v>
      </c>
      <c r="N353" s="2" t="s">
        <v>1418</v>
      </c>
      <c r="O353" s="2" t="s">
        <v>225</v>
      </c>
      <c r="P353" s="2" t="s">
        <v>276</v>
      </c>
      <c r="Q353" s="2"/>
      <c r="R353" s="4" t="s">
        <v>30</v>
      </c>
      <c r="S353" s="5" t="n">
        <v>0</v>
      </c>
      <c r="T353" s="2"/>
    </row>
    <row r="354" customFormat="false" ht="15" hidden="false" customHeight="false" outlineLevel="0" collapsed="false">
      <c r="A354" s="2" t="s">
        <v>1419</v>
      </c>
      <c r="B354" s="3" t="n">
        <v>46019</v>
      </c>
      <c r="C354" s="3" t="n">
        <v>46019</v>
      </c>
      <c r="D354" s="2" t="s">
        <v>21</v>
      </c>
      <c r="E354" s="4" t="s">
        <v>33</v>
      </c>
      <c r="F354" s="5" t="n">
        <v>133600</v>
      </c>
      <c r="G354" s="6" t="n">
        <f aca="false">G353+IF(E354="Credit",F354,IF(E354="Debit",-F354,0))</f>
        <v>6549078</v>
      </c>
      <c r="H354" s="4" t="s">
        <v>53</v>
      </c>
      <c r="I354" s="2" t="s">
        <v>278</v>
      </c>
      <c r="J354" s="2" t="s">
        <v>1399</v>
      </c>
      <c r="K354" s="4" t="s">
        <v>279</v>
      </c>
      <c r="L354" s="2" t="s">
        <v>280</v>
      </c>
      <c r="M354" s="4" t="s">
        <v>223</v>
      </c>
      <c r="N354" s="2" t="s">
        <v>1420</v>
      </c>
      <c r="O354" s="2" t="s">
        <v>225</v>
      </c>
      <c r="P354" s="2" t="s">
        <v>226</v>
      </c>
      <c r="Q354" s="2"/>
      <c r="R354" s="4" t="s">
        <v>30</v>
      </c>
      <c r="S354" s="5" t="n">
        <v>0</v>
      </c>
      <c r="T354" s="2"/>
    </row>
    <row r="355" customFormat="false" ht="15" hidden="false" customHeight="false" outlineLevel="0" collapsed="false">
      <c r="A355" s="2" t="s">
        <v>1421</v>
      </c>
      <c r="B355" s="3" t="n">
        <v>46019</v>
      </c>
      <c r="C355" s="3" t="n">
        <v>46019</v>
      </c>
      <c r="D355" s="2" t="s">
        <v>21</v>
      </c>
      <c r="E355" s="4" t="s">
        <v>33</v>
      </c>
      <c r="F355" s="5" t="n">
        <v>55600</v>
      </c>
      <c r="G355" s="6" t="n">
        <f aca="false">G354+IF(E355="Credit",F355,IF(E355="Debit",-F355,0))</f>
        <v>6493478</v>
      </c>
      <c r="H355" s="4" t="s">
        <v>53</v>
      </c>
      <c r="I355" s="2" t="s">
        <v>283</v>
      </c>
      <c r="J355" s="2" t="s">
        <v>1399</v>
      </c>
      <c r="K355" s="4" t="s">
        <v>284</v>
      </c>
      <c r="L355" s="2" t="s">
        <v>285</v>
      </c>
      <c r="M355" s="4" t="s">
        <v>223</v>
      </c>
      <c r="N355" s="2" t="s">
        <v>1422</v>
      </c>
      <c r="O355" s="2" t="s">
        <v>225</v>
      </c>
      <c r="P355" s="2" t="s">
        <v>287</v>
      </c>
      <c r="Q355" s="2"/>
      <c r="R355" s="4" t="s">
        <v>30</v>
      </c>
      <c r="S355" s="5" t="n">
        <v>0</v>
      </c>
      <c r="T355" s="2"/>
    </row>
    <row r="356" customFormat="false" ht="15" hidden="false" customHeight="false" outlineLevel="0" collapsed="false">
      <c r="A356" s="2" t="s">
        <v>1423</v>
      </c>
      <c r="B356" s="3" t="n">
        <v>46021</v>
      </c>
      <c r="C356" s="3" t="n">
        <v>46021</v>
      </c>
      <c r="D356" s="2" t="s">
        <v>21</v>
      </c>
      <c r="E356" s="4" t="s">
        <v>52</v>
      </c>
      <c r="F356" s="5" t="n">
        <v>457840</v>
      </c>
      <c r="G356" s="6" t="n">
        <f aca="false">G355+IF(E356="Credit",F356,IF(E356="Debit",-F356,0))</f>
        <v>6951318</v>
      </c>
      <c r="H356" s="4" t="s">
        <v>74</v>
      </c>
      <c r="I356" s="2" t="s">
        <v>1424</v>
      </c>
      <c r="J356" s="2" t="s">
        <v>1425</v>
      </c>
      <c r="K356" s="4" t="s">
        <v>56</v>
      </c>
      <c r="L356" s="2" t="s">
        <v>57</v>
      </c>
      <c r="M356" s="4" t="s">
        <v>58</v>
      </c>
      <c r="N356" s="2" t="s">
        <v>1426</v>
      </c>
      <c r="O356" s="2" t="s">
        <v>60</v>
      </c>
      <c r="P356" s="2" t="s">
        <v>1033</v>
      </c>
      <c r="Q356" s="2" t="s">
        <v>1427</v>
      </c>
      <c r="R356" s="4" t="s">
        <v>30</v>
      </c>
      <c r="S356" s="5" t="n">
        <v>69840</v>
      </c>
      <c r="T356" s="2" t="s">
        <v>413</v>
      </c>
    </row>
    <row r="357" customFormat="false" ht="15" hidden="false" customHeight="false" outlineLevel="0" collapsed="false">
      <c r="A357" s="2" t="s">
        <v>1428</v>
      </c>
      <c r="B357" s="3" t="n">
        <v>46022</v>
      </c>
      <c r="C357" s="3" t="n">
        <v>46022</v>
      </c>
      <c r="D357" s="2" t="s">
        <v>21</v>
      </c>
      <c r="E357" s="4" t="s">
        <v>33</v>
      </c>
      <c r="F357" s="5" t="n">
        <v>52400</v>
      </c>
      <c r="G357" s="6" t="n">
        <f aca="false">G356+IF(E357="Credit",F357,IF(E357="Debit",-F357,0))</f>
        <v>6898918</v>
      </c>
      <c r="H357" s="4" t="s">
        <v>34</v>
      </c>
      <c r="I357" s="2" t="s">
        <v>1429</v>
      </c>
      <c r="J357" s="2" t="s">
        <v>1429</v>
      </c>
      <c r="K357" s="4" t="s">
        <v>133</v>
      </c>
      <c r="L357" s="2" t="s">
        <v>134</v>
      </c>
      <c r="M357" s="4" t="s">
        <v>38</v>
      </c>
      <c r="N357" s="2" t="s">
        <v>1430</v>
      </c>
      <c r="O357" s="2" t="s">
        <v>136</v>
      </c>
      <c r="P357" s="2" t="s">
        <v>137</v>
      </c>
      <c r="Q357" s="2"/>
      <c r="R357" s="4" t="s">
        <v>30</v>
      </c>
      <c r="S357" s="5" t="n">
        <v>0</v>
      </c>
      <c r="T357" s="2"/>
    </row>
    <row r="358" customFormat="false" ht="15" hidden="false" customHeight="false" outlineLevel="0" collapsed="false">
      <c r="A358" s="2" t="s">
        <v>1431</v>
      </c>
      <c r="B358" s="3" t="n">
        <v>46024</v>
      </c>
      <c r="C358" s="3" t="n">
        <v>46024</v>
      </c>
      <c r="D358" s="2" t="s">
        <v>21</v>
      </c>
      <c r="E358" s="4" t="s">
        <v>52</v>
      </c>
      <c r="F358" s="5" t="n">
        <v>389100</v>
      </c>
      <c r="G358" s="6" t="n">
        <f aca="false">G357+IF(E358="Credit",F358,IF(E358="Debit",-F358,0))</f>
        <v>7288018</v>
      </c>
      <c r="H358" s="4" t="s">
        <v>99</v>
      </c>
      <c r="I358" s="2" t="s">
        <v>1432</v>
      </c>
      <c r="J358" s="2" t="s">
        <v>1433</v>
      </c>
      <c r="K358" s="4" t="s">
        <v>960</v>
      </c>
      <c r="L358" s="2" t="s">
        <v>961</v>
      </c>
      <c r="M358" s="4" t="s">
        <v>58</v>
      </c>
      <c r="N358" s="2" t="s">
        <v>1434</v>
      </c>
      <c r="O358" s="2" t="s">
        <v>60</v>
      </c>
      <c r="P358" s="2" t="s">
        <v>477</v>
      </c>
      <c r="Q358" s="2" t="s">
        <v>1435</v>
      </c>
      <c r="R358" s="4" t="s">
        <v>30</v>
      </c>
      <c r="S358" s="5" t="n">
        <v>57600</v>
      </c>
      <c r="T358" s="2" t="s">
        <v>1436</v>
      </c>
    </row>
    <row r="359" customFormat="false" ht="15" hidden="false" customHeight="false" outlineLevel="0" collapsed="false">
      <c r="A359" s="2" t="s">
        <v>1437</v>
      </c>
      <c r="B359" s="3" t="n">
        <v>46025</v>
      </c>
      <c r="C359" s="3" t="n">
        <v>46025</v>
      </c>
      <c r="D359" s="2" t="s">
        <v>21</v>
      </c>
      <c r="E359" s="4" t="s">
        <v>33</v>
      </c>
      <c r="F359" s="5" t="n">
        <v>100700</v>
      </c>
      <c r="G359" s="6" t="n">
        <f aca="false">G358+IF(E359="Credit",F359,IF(E359="Debit",-F359,0))</f>
        <v>7187318</v>
      </c>
      <c r="H359" s="4" t="s">
        <v>43</v>
      </c>
      <c r="I359" s="2" t="s">
        <v>44</v>
      </c>
      <c r="J359" s="2" t="s">
        <v>1438</v>
      </c>
      <c r="K359" s="4" t="s">
        <v>46</v>
      </c>
      <c r="L359" s="2" t="s">
        <v>47</v>
      </c>
      <c r="M359" s="4" t="s">
        <v>38</v>
      </c>
      <c r="N359" s="2" t="s">
        <v>1439</v>
      </c>
      <c r="O359" s="2" t="s">
        <v>49</v>
      </c>
      <c r="P359" s="2" t="s">
        <v>50</v>
      </c>
      <c r="Q359" s="2"/>
      <c r="R359" s="4" t="s">
        <v>30</v>
      </c>
      <c r="S359" s="5" t="n">
        <v>0</v>
      </c>
      <c r="T359" s="2"/>
    </row>
    <row r="360" customFormat="false" ht="15" hidden="false" customHeight="false" outlineLevel="0" collapsed="false">
      <c r="A360" s="2" t="s">
        <v>1440</v>
      </c>
      <c r="B360" s="3" t="n">
        <v>46026</v>
      </c>
      <c r="C360" s="3" t="n">
        <v>46026</v>
      </c>
      <c r="D360" s="2" t="s">
        <v>21</v>
      </c>
      <c r="E360" s="4" t="s">
        <v>52</v>
      </c>
      <c r="F360" s="5" t="n">
        <v>147500</v>
      </c>
      <c r="G360" s="6" t="n">
        <f aca="false">G359+IF(E360="Credit",F360,IF(E360="Debit",-F360,0))</f>
        <v>7334818</v>
      </c>
      <c r="H360" s="4" t="s">
        <v>99</v>
      </c>
      <c r="I360" s="2" t="s">
        <v>815</v>
      </c>
      <c r="J360" s="2" t="s">
        <v>1441</v>
      </c>
      <c r="K360" s="4" t="s">
        <v>764</v>
      </c>
      <c r="L360" s="2" t="s">
        <v>765</v>
      </c>
      <c r="M360" s="4" t="s">
        <v>58</v>
      </c>
      <c r="N360" s="2" t="s">
        <v>1442</v>
      </c>
      <c r="O360" s="2" t="s">
        <v>60</v>
      </c>
      <c r="P360" s="2" t="s">
        <v>897</v>
      </c>
      <c r="Q360" s="2" t="s">
        <v>1443</v>
      </c>
      <c r="R360" s="4" t="s">
        <v>30</v>
      </c>
      <c r="S360" s="5" t="n">
        <v>22500</v>
      </c>
      <c r="T360" s="2" t="s">
        <v>1444</v>
      </c>
    </row>
    <row r="361" customFormat="false" ht="15" hidden="false" customHeight="false" outlineLevel="0" collapsed="false">
      <c r="A361" s="2" t="s">
        <v>1445</v>
      </c>
      <c r="B361" s="3" t="n">
        <v>46027</v>
      </c>
      <c r="C361" s="3" t="n">
        <v>46027</v>
      </c>
      <c r="D361" s="2" t="s">
        <v>21</v>
      </c>
      <c r="E361" s="4" t="s">
        <v>52</v>
      </c>
      <c r="F361" s="5" t="n">
        <v>74399</v>
      </c>
      <c r="G361" s="6" t="n">
        <f aca="false">G360+IF(E361="Credit",F361,IF(E361="Debit",-F361,0))</f>
        <v>7409217</v>
      </c>
      <c r="H361" s="4" t="s">
        <v>685</v>
      </c>
      <c r="I361" s="2" t="s">
        <v>1446</v>
      </c>
      <c r="J361" s="2" t="s">
        <v>1447</v>
      </c>
      <c r="K361" s="4" t="s">
        <v>533</v>
      </c>
      <c r="L361" s="2" t="s">
        <v>534</v>
      </c>
      <c r="M361" s="4" t="s">
        <v>58</v>
      </c>
      <c r="N361" s="2" t="s">
        <v>1448</v>
      </c>
      <c r="O361" s="2" t="s">
        <v>60</v>
      </c>
      <c r="P361" s="2" t="s">
        <v>967</v>
      </c>
      <c r="Q361" s="2" t="s">
        <v>1360</v>
      </c>
      <c r="R361" s="4" t="s">
        <v>30</v>
      </c>
      <c r="S361" s="5" t="n">
        <v>11349</v>
      </c>
      <c r="T361" s="2" t="s">
        <v>1449</v>
      </c>
    </row>
    <row r="362" customFormat="false" ht="15" hidden="false" customHeight="false" outlineLevel="0" collapsed="false">
      <c r="A362" s="2" t="s">
        <v>1450</v>
      </c>
      <c r="B362" s="3" t="n">
        <v>46027</v>
      </c>
      <c r="C362" s="3" t="n">
        <v>46027</v>
      </c>
      <c r="D362" s="2" t="s">
        <v>21</v>
      </c>
      <c r="E362" s="4" t="s">
        <v>52</v>
      </c>
      <c r="F362" s="5" t="n">
        <v>62500</v>
      </c>
      <c r="G362" s="6" t="n">
        <f aca="false">G361+IF(E362="Credit",F362,IF(E362="Debit",-F362,0))</f>
        <v>7471717</v>
      </c>
      <c r="H362" s="4" t="s">
        <v>53</v>
      </c>
      <c r="I362" s="2" t="s">
        <v>1451</v>
      </c>
      <c r="J362" s="2" t="s">
        <v>1452</v>
      </c>
      <c r="K362" s="4" t="s">
        <v>77</v>
      </c>
      <c r="L362" s="2" t="s">
        <v>78</v>
      </c>
      <c r="M362" s="4" t="s">
        <v>58</v>
      </c>
      <c r="N362" s="2" t="s">
        <v>1453</v>
      </c>
      <c r="O362" s="2" t="s">
        <v>60</v>
      </c>
      <c r="P362" s="2" t="s">
        <v>354</v>
      </c>
      <c r="Q362" s="2" t="s">
        <v>1454</v>
      </c>
      <c r="R362" s="4" t="s">
        <v>30</v>
      </c>
      <c r="S362" s="5" t="n">
        <v>2976</v>
      </c>
      <c r="T362" s="2" t="s">
        <v>407</v>
      </c>
    </row>
    <row r="363" customFormat="false" ht="15" hidden="false" customHeight="false" outlineLevel="0" collapsed="false">
      <c r="A363" s="2" t="s">
        <v>1455</v>
      </c>
      <c r="B363" s="3" t="n">
        <v>46027</v>
      </c>
      <c r="C363" s="3" t="n">
        <v>46027</v>
      </c>
      <c r="D363" s="2" t="s">
        <v>21</v>
      </c>
      <c r="E363" s="4" t="s">
        <v>33</v>
      </c>
      <c r="F363" s="5" t="n">
        <v>145000</v>
      </c>
      <c r="G363" s="6" t="n">
        <f aca="false">G362+IF(E363="Credit",F363,IF(E363="Debit",-F363,0))</f>
        <v>7326717</v>
      </c>
      <c r="H363" s="4" t="s">
        <v>64</v>
      </c>
      <c r="I363" s="2" t="s">
        <v>65</v>
      </c>
      <c r="J363" s="2" t="s">
        <v>1456</v>
      </c>
      <c r="K363" s="4" t="s">
        <v>67</v>
      </c>
      <c r="L363" s="2" t="s">
        <v>68</v>
      </c>
      <c r="M363" s="4" t="s">
        <v>69</v>
      </c>
      <c r="N363" s="2" t="s">
        <v>1457</v>
      </c>
      <c r="O363" s="2" t="s">
        <v>71</v>
      </c>
      <c r="P363" s="2" t="s">
        <v>72</v>
      </c>
      <c r="Q363" s="2"/>
      <c r="R363" s="4" t="s">
        <v>30</v>
      </c>
      <c r="S363" s="5" t="n">
        <v>0</v>
      </c>
      <c r="T363" s="2"/>
    </row>
    <row r="364" customFormat="false" ht="15" hidden="false" customHeight="false" outlineLevel="0" collapsed="false">
      <c r="A364" s="2" t="s">
        <v>1458</v>
      </c>
      <c r="B364" s="3" t="n">
        <v>46027</v>
      </c>
      <c r="C364" s="3" t="n">
        <v>46027</v>
      </c>
      <c r="D364" s="2" t="s">
        <v>21</v>
      </c>
      <c r="E364" s="4" t="s">
        <v>33</v>
      </c>
      <c r="F364" s="5" t="n">
        <v>27700</v>
      </c>
      <c r="G364" s="6" t="n">
        <f aca="false">G363+IF(E364="Credit",F364,IF(E364="Debit",-F364,0))</f>
        <v>7299017</v>
      </c>
      <c r="H364" s="4" t="s">
        <v>99</v>
      </c>
      <c r="I364" s="2" t="s">
        <v>920</v>
      </c>
      <c r="J364" s="2" t="s">
        <v>920</v>
      </c>
      <c r="K364" s="4" t="s">
        <v>165</v>
      </c>
      <c r="L364" s="2" t="s">
        <v>166</v>
      </c>
      <c r="M364" s="4" t="s">
        <v>167</v>
      </c>
      <c r="N364" s="2" t="s">
        <v>1459</v>
      </c>
      <c r="O364" s="2" t="s">
        <v>169</v>
      </c>
      <c r="P364" s="2" t="s">
        <v>170</v>
      </c>
      <c r="Q364" s="2"/>
      <c r="R364" s="4" t="s">
        <v>30</v>
      </c>
      <c r="S364" s="5" t="n">
        <v>0</v>
      </c>
      <c r="T364" s="2"/>
    </row>
    <row r="365" customFormat="false" ht="15" hidden="false" customHeight="false" outlineLevel="0" collapsed="false">
      <c r="A365" s="2" t="s">
        <v>1460</v>
      </c>
      <c r="B365" s="3" t="n">
        <v>46028</v>
      </c>
      <c r="C365" s="3" t="n">
        <v>46028</v>
      </c>
      <c r="D365" s="2" t="s">
        <v>21</v>
      </c>
      <c r="E365" s="4" t="s">
        <v>52</v>
      </c>
      <c r="F365" s="5" t="n">
        <v>61000</v>
      </c>
      <c r="G365" s="6" t="n">
        <f aca="false">G364+IF(E365="Credit",F365,IF(E365="Debit",-F365,0))</f>
        <v>7360017</v>
      </c>
      <c r="H365" s="4" t="s">
        <v>53</v>
      </c>
      <c r="I365" s="2" t="s">
        <v>1461</v>
      </c>
      <c r="J365" s="2" t="s">
        <v>55</v>
      </c>
      <c r="K365" s="4" t="s">
        <v>77</v>
      </c>
      <c r="L365" s="2" t="s">
        <v>78</v>
      </c>
      <c r="M365" s="4" t="s">
        <v>58</v>
      </c>
      <c r="N365" s="2" t="s">
        <v>1462</v>
      </c>
      <c r="O365" s="2" t="s">
        <v>60</v>
      </c>
      <c r="P365" s="2" t="s">
        <v>61</v>
      </c>
      <c r="Q365" s="2"/>
      <c r="R365" s="4" t="s">
        <v>30</v>
      </c>
      <c r="S365" s="5" t="n">
        <v>0</v>
      </c>
      <c r="T365" s="2" t="s">
        <v>62</v>
      </c>
    </row>
    <row r="366" customFormat="false" ht="15" hidden="false" customHeight="false" outlineLevel="0" collapsed="false">
      <c r="A366" s="2" t="s">
        <v>1463</v>
      </c>
      <c r="B366" s="3" t="n">
        <v>46029</v>
      </c>
      <c r="C366" s="3" t="n">
        <v>46029</v>
      </c>
      <c r="D366" s="2" t="s">
        <v>21</v>
      </c>
      <c r="E366" s="4" t="s">
        <v>52</v>
      </c>
      <c r="F366" s="5" t="n">
        <v>392000</v>
      </c>
      <c r="G366" s="6" t="n">
        <f aca="false">G365+IF(E366="Credit",F366,IF(E366="Debit",-F366,0))</f>
        <v>7752017</v>
      </c>
      <c r="H366" s="4" t="s">
        <v>99</v>
      </c>
      <c r="I366" s="2" t="s">
        <v>637</v>
      </c>
      <c r="J366" s="2" t="s">
        <v>1464</v>
      </c>
      <c r="K366" s="4" t="s">
        <v>639</v>
      </c>
      <c r="L366" s="2" t="s">
        <v>640</v>
      </c>
      <c r="M366" s="4" t="s">
        <v>58</v>
      </c>
      <c r="N366" s="2" t="s">
        <v>1465</v>
      </c>
      <c r="O366" s="2" t="s">
        <v>60</v>
      </c>
      <c r="P366" s="2" t="s">
        <v>318</v>
      </c>
      <c r="Q366" s="2" t="s">
        <v>1280</v>
      </c>
      <c r="R366" s="4" t="s">
        <v>30</v>
      </c>
      <c r="S366" s="5" t="n">
        <v>42000</v>
      </c>
      <c r="T366" s="2" t="s">
        <v>1466</v>
      </c>
    </row>
    <row r="367" customFormat="false" ht="15" hidden="false" customHeight="false" outlineLevel="0" collapsed="false">
      <c r="A367" s="2" t="s">
        <v>1467</v>
      </c>
      <c r="B367" s="3" t="n">
        <v>46029</v>
      </c>
      <c r="C367" s="3" t="n">
        <v>46029</v>
      </c>
      <c r="D367" s="2" t="s">
        <v>21</v>
      </c>
      <c r="E367" s="4" t="s">
        <v>33</v>
      </c>
      <c r="F367" s="5" t="n">
        <v>12000</v>
      </c>
      <c r="G367" s="6" t="n">
        <f aca="false">G366+IF(E367="Credit",F367,IF(E367="Debit",-F367,0))</f>
        <v>7740017</v>
      </c>
      <c r="H367" s="4" t="s">
        <v>64</v>
      </c>
      <c r="I367" s="2" t="s">
        <v>83</v>
      </c>
      <c r="J367" s="2" t="s">
        <v>1468</v>
      </c>
      <c r="K367" s="4" t="s">
        <v>85</v>
      </c>
      <c r="L367" s="2" t="s">
        <v>86</v>
      </c>
      <c r="M367" s="4" t="s">
        <v>38</v>
      </c>
      <c r="N367" s="2" t="s">
        <v>1469</v>
      </c>
      <c r="O367" s="2" t="s">
        <v>88</v>
      </c>
      <c r="P367" s="2" t="s">
        <v>89</v>
      </c>
      <c r="Q367" s="2"/>
      <c r="R367" s="4" t="s">
        <v>30</v>
      </c>
      <c r="S367" s="5" t="n">
        <v>0</v>
      </c>
      <c r="T367" s="2"/>
    </row>
    <row r="368" customFormat="false" ht="15" hidden="false" customHeight="false" outlineLevel="0" collapsed="false">
      <c r="A368" s="2" t="s">
        <v>1470</v>
      </c>
      <c r="B368" s="3" t="n">
        <v>46029</v>
      </c>
      <c r="C368" s="3" t="n">
        <v>46029</v>
      </c>
      <c r="D368" s="2" t="s">
        <v>21</v>
      </c>
      <c r="E368" s="4" t="s">
        <v>33</v>
      </c>
      <c r="F368" s="5" t="n">
        <v>9000</v>
      </c>
      <c r="G368" s="6" t="n">
        <f aca="false">G367+IF(E368="Credit",F368,IF(E368="Debit",-F368,0))</f>
        <v>7731017</v>
      </c>
      <c r="H368" s="4" t="s">
        <v>34</v>
      </c>
      <c r="I368" s="2" t="s">
        <v>1471</v>
      </c>
      <c r="J368" s="2" t="s">
        <v>1471</v>
      </c>
      <c r="K368" s="4" t="s">
        <v>36</v>
      </c>
      <c r="L368" s="2" t="s">
        <v>37</v>
      </c>
      <c r="M368" s="4" t="s">
        <v>38</v>
      </c>
      <c r="N368" s="2" t="s">
        <v>1472</v>
      </c>
      <c r="O368" s="2" t="s">
        <v>40</v>
      </c>
      <c r="P368" s="2" t="s">
        <v>41</v>
      </c>
      <c r="Q368" s="2"/>
      <c r="R368" s="4" t="s">
        <v>30</v>
      </c>
      <c r="S368" s="5" t="n">
        <v>0</v>
      </c>
      <c r="T368" s="2"/>
    </row>
    <row r="369" customFormat="false" ht="15" hidden="false" customHeight="false" outlineLevel="0" collapsed="false">
      <c r="A369" s="2" t="s">
        <v>1473</v>
      </c>
      <c r="B369" s="3" t="n">
        <v>46032</v>
      </c>
      <c r="C369" s="3" t="n">
        <v>46032</v>
      </c>
      <c r="D369" s="2" t="s">
        <v>21</v>
      </c>
      <c r="E369" s="4" t="s">
        <v>52</v>
      </c>
      <c r="F369" s="5" t="n">
        <v>226560</v>
      </c>
      <c r="G369" s="6" t="n">
        <f aca="false">G368+IF(E369="Credit",F369,IF(E369="Debit",-F369,0))</f>
        <v>7957577</v>
      </c>
      <c r="H369" s="4" t="s">
        <v>685</v>
      </c>
      <c r="I369" s="2" t="s">
        <v>1474</v>
      </c>
      <c r="J369" s="2" t="s">
        <v>1475</v>
      </c>
      <c r="K369" s="4" t="s">
        <v>1136</v>
      </c>
      <c r="L369" s="2" t="s">
        <v>1137</v>
      </c>
      <c r="M369" s="4" t="s">
        <v>58</v>
      </c>
      <c r="N369" s="2" t="s">
        <v>1476</v>
      </c>
      <c r="O369" s="2" t="s">
        <v>60</v>
      </c>
      <c r="P369" s="2" t="s">
        <v>711</v>
      </c>
      <c r="Q369" s="2" t="s">
        <v>1477</v>
      </c>
      <c r="R369" s="4" t="s">
        <v>30</v>
      </c>
      <c r="S369" s="5" t="n">
        <v>34560</v>
      </c>
      <c r="T369" s="2"/>
    </row>
    <row r="370" customFormat="false" ht="15" hidden="false" customHeight="false" outlineLevel="0" collapsed="false">
      <c r="A370" s="2" t="s">
        <v>1478</v>
      </c>
      <c r="B370" s="3" t="n">
        <v>46032</v>
      </c>
      <c r="C370" s="3" t="n">
        <v>46032</v>
      </c>
      <c r="D370" s="2" t="s">
        <v>21</v>
      </c>
      <c r="E370" s="4" t="s">
        <v>33</v>
      </c>
      <c r="F370" s="5" t="n">
        <v>76200</v>
      </c>
      <c r="G370" s="6" t="n">
        <f aca="false">G369+IF(E370="Credit",F370,IF(E370="Debit",-F370,0))</f>
        <v>7881377</v>
      </c>
      <c r="H370" s="4" t="s">
        <v>115</v>
      </c>
      <c r="I370" s="2" t="s">
        <v>116</v>
      </c>
      <c r="J370" s="2" t="s">
        <v>1479</v>
      </c>
      <c r="K370" s="4" t="s">
        <v>118</v>
      </c>
      <c r="L370" s="2" t="s">
        <v>119</v>
      </c>
      <c r="M370" s="4" t="s">
        <v>38</v>
      </c>
      <c r="N370" s="2" t="s">
        <v>1480</v>
      </c>
      <c r="O370" s="2" t="s">
        <v>121</v>
      </c>
      <c r="P370" s="2" t="s">
        <v>122</v>
      </c>
      <c r="Q370" s="2"/>
      <c r="R370" s="4" t="s">
        <v>30</v>
      </c>
      <c r="S370" s="5" t="n">
        <v>0</v>
      </c>
      <c r="T370" s="2"/>
    </row>
    <row r="371" customFormat="false" ht="15" hidden="false" customHeight="false" outlineLevel="0" collapsed="false">
      <c r="A371" s="2" t="s">
        <v>1481</v>
      </c>
      <c r="B371" s="3" t="n">
        <v>46032</v>
      </c>
      <c r="C371" s="3" t="n">
        <v>46032</v>
      </c>
      <c r="D371" s="2" t="s">
        <v>21</v>
      </c>
      <c r="E371" s="4" t="s">
        <v>33</v>
      </c>
      <c r="F371" s="5" t="n">
        <v>24800</v>
      </c>
      <c r="G371" s="6" t="n">
        <f aca="false">G370+IF(E371="Credit",F371,IF(E371="Debit",-F371,0))</f>
        <v>7856577</v>
      </c>
      <c r="H371" s="4" t="s">
        <v>99</v>
      </c>
      <c r="I371" s="2" t="s">
        <v>780</v>
      </c>
      <c r="J371" s="2" t="s">
        <v>780</v>
      </c>
      <c r="K371" s="4" t="s">
        <v>165</v>
      </c>
      <c r="L371" s="2" t="s">
        <v>166</v>
      </c>
      <c r="M371" s="4" t="s">
        <v>167</v>
      </c>
      <c r="N371" s="2" t="s">
        <v>1482</v>
      </c>
      <c r="O371" s="2" t="s">
        <v>169</v>
      </c>
      <c r="P371" s="2" t="s">
        <v>170</v>
      </c>
      <c r="Q371" s="2"/>
      <c r="R371" s="4" t="s">
        <v>30</v>
      </c>
      <c r="S371" s="5" t="n">
        <v>0</v>
      </c>
      <c r="T371" s="2"/>
    </row>
    <row r="372" customFormat="false" ht="15" hidden="false" customHeight="false" outlineLevel="0" collapsed="false">
      <c r="A372" s="2" t="s">
        <v>1483</v>
      </c>
      <c r="B372" s="3" t="n">
        <v>46033</v>
      </c>
      <c r="C372" s="3" t="n">
        <v>46033</v>
      </c>
      <c r="D372" s="2" t="s">
        <v>21</v>
      </c>
      <c r="E372" s="4" t="s">
        <v>52</v>
      </c>
      <c r="F372" s="5" t="n">
        <v>193520</v>
      </c>
      <c r="G372" s="6" t="n">
        <f aca="false">G371+IF(E372="Credit",F372,IF(E372="Debit",-F372,0))</f>
        <v>8050097</v>
      </c>
      <c r="H372" s="4" t="s">
        <v>74</v>
      </c>
      <c r="I372" s="2" t="s">
        <v>979</v>
      </c>
      <c r="J372" s="2" t="s">
        <v>1484</v>
      </c>
      <c r="K372" s="4" t="s">
        <v>947</v>
      </c>
      <c r="L372" s="2" t="s">
        <v>948</v>
      </c>
      <c r="M372" s="4" t="s">
        <v>58</v>
      </c>
      <c r="N372" s="2" t="s">
        <v>1485</v>
      </c>
      <c r="O372" s="2" t="s">
        <v>60</v>
      </c>
      <c r="P372" s="2" t="s">
        <v>711</v>
      </c>
      <c r="Q372" s="2" t="s">
        <v>1486</v>
      </c>
      <c r="R372" s="4" t="s">
        <v>30</v>
      </c>
      <c r="S372" s="5" t="n">
        <v>29520</v>
      </c>
      <c r="T372" s="2" t="s">
        <v>413</v>
      </c>
    </row>
    <row r="373" customFormat="false" ht="15" hidden="false" customHeight="false" outlineLevel="0" collapsed="false">
      <c r="A373" s="2" t="s">
        <v>1487</v>
      </c>
      <c r="B373" s="3" t="n">
        <v>46034</v>
      </c>
      <c r="C373" s="3" t="n">
        <v>46034</v>
      </c>
      <c r="D373" s="2" t="s">
        <v>21</v>
      </c>
      <c r="E373" s="4" t="s">
        <v>33</v>
      </c>
      <c r="F373" s="5" t="n">
        <v>43100</v>
      </c>
      <c r="G373" s="6" t="n">
        <f aca="false">G372+IF(E373="Credit",F373,IF(E373="Debit",-F373,0))</f>
        <v>8006997</v>
      </c>
      <c r="H373" s="4" t="s">
        <v>74</v>
      </c>
      <c r="I373" s="2" t="s">
        <v>780</v>
      </c>
      <c r="J373" s="2" t="s">
        <v>780</v>
      </c>
      <c r="K373" s="4" t="s">
        <v>165</v>
      </c>
      <c r="L373" s="2" t="s">
        <v>166</v>
      </c>
      <c r="M373" s="4" t="s">
        <v>167</v>
      </c>
      <c r="N373" s="2" t="s">
        <v>1488</v>
      </c>
      <c r="O373" s="2" t="s">
        <v>169</v>
      </c>
      <c r="P373" s="2" t="s">
        <v>170</v>
      </c>
      <c r="Q373" s="2"/>
      <c r="R373" s="4" t="s">
        <v>30</v>
      </c>
      <c r="S373" s="5" t="n">
        <v>0</v>
      </c>
      <c r="T373" s="2"/>
    </row>
    <row r="374" customFormat="false" ht="15" hidden="false" customHeight="false" outlineLevel="0" collapsed="false">
      <c r="A374" s="2" t="s">
        <v>1489</v>
      </c>
      <c r="B374" s="3" t="n">
        <v>46036</v>
      </c>
      <c r="C374" s="3" t="n">
        <v>46036</v>
      </c>
      <c r="D374" s="2" t="s">
        <v>21</v>
      </c>
      <c r="E374" s="4" t="s">
        <v>33</v>
      </c>
      <c r="F374" s="5" t="n">
        <v>32000</v>
      </c>
      <c r="G374" s="6" t="n">
        <f aca="false">G373+IF(E374="Credit",F374,IF(E374="Debit",-F374,0))</f>
        <v>7974997</v>
      </c>
      <c r="H374" s="4" t="s">
        <v>99</v>
      </c>
      <c r="I374" s="2" t="s">
        <v>139</v>
      </c>
      <c r="J374" s="2" t="s">
        <v>1490</v>
      </c>
      <c r="K374" s="4" t="s">
        <v>141</v>
      </c>
      <c r="L374" s="2" t="s">
        <v>142</v>
      </c>
      <c r="M374" s="4" t="s">
        <v>143</v>
      </c>
      <c r="N374" s="2" t="s">
        <v>1491</v>
      </c>
      <c r="O374" s="2" t="s">
        <v>145</v>
      </c>
      <c r="P374" s="2" t="s">
        <v>146</v>
      </c>
      <c r="Q374" s="2"/>
      <c r="R374" s="4" t="s">
        <v>30</v>
      </c>
      <c r="S374" s="5" t="n">
        <v>0</v>
      </c>
      <c r="T374" s="2"/>
    </row>
    <row r="375" customFormat="false" ht="15" hidden="false" customHeight="false" outlineLevel="0" collapsed="false">
      <c r="A375" s="2" t="s">
        <v>1492</v>
      </c>
      <c r="B375" s="3" t="n">
        <v>46036</v>
      </c>
      <c r="C375" s="3" t="n">
        <v>46036</v>
      </c>
      <c r="D375" s="2" t="s">
        <v>21</v>
      </c>
      <c r="E375" s="4" t="s">
        <v>33</v>
      </c>
      <c r="F375" s="5" t="n">
        <v>42200</v>
      </c>
      <c r="G375" s="6" t="n">
        <f aca="false">G374+IF(E375="Credit",F375,IF(E375="Debit",-F375,0))</f>
        <v>7932797</v>
      </c>
      <c r="H375" s="4" t="s">
        <v>115</v>
      </c>
      <c r="I375" s="2" t="s">
        <v>1493</v>
      </c>
      <c r="J375" s="2" t="s">
        <v>1493</v>
      </c>
      <c r="K375" s="4" t="s">
        <v>133</v>
      </c>
      <c r="L375" s="2" t="s">
        <v>134</v>
      </c>
      <c r="M375" s="4" t="s">
        <v>38</v>
      </c>
      <c r="N375" s="2" t="s">
        <v>1494</v>
      </c>
      <c r="O375" s="2" t="s">
        <v>136</v>
      </c>
      <c r="P375" s="2" t="s">
        <v>137</v>
      </c>
      <c r="Q375" s="2"/>
      <c r="R375" s="4" t="s">
        <v>30</v>
      </c>
      <c r="S375" s="5" t="n">
        <v>0</v>
      </c>
      <c r="T375" s="2"/>
    </row>
    <row r="376" customFormat="false" ht="15" hidden="false" customHeight="false" outlineLevel="0" collapsed="false">
      <c r="A376" s="2" t="s">
        <v>1495</v>
      </c>
      <c r="B376" s="3" t="n">
        <v>46037</v>
      </c>
      <c r="C376" s="3" t="n">
        <v>46037</v>
      </c>
      <c r="D376" s="2" t="s">
        <v>21</v>
      </c>
      <c r="E376" s="4" t="s">
        <v>33</v>
      </c>
      <c r="F376" s="5" t="n">
        <v>27170</v>
      </c>
      <c r="G376" s="6" t="n">
        <f aca="false">G375+IF(E376="Credit",F376,IF(E376="Debit",-F376,0))</f>
        <v>7905627</v>
      </c>
      <c r="H376" s="4" t="s">
        <v>64</v>
      </c>
      <c r="I376" s="2" t="s">
        <v>148</v>
      </c>
      <c r="J376" s="2" t="s">
        <v>1496</v>
      </c>
      <c r="K376" s="4" t="s">
        <v>150</v>
      </c>
      <c r="L376" s="2" t="s">
        <v>151</v>
      </c>
      <c r="M376" s="4" t="s">
        <v>38</v>
      </c>
      <c r="N376" s="2" t="s">
        <v>1497</v>
      </c>
      <c r="O376" s="2" t="s">
        <v>88</v>
      </c>
      <c r="P376" s="2" t="s">
        <v>153</v>
      </c>
      <c r="Q376" s="2"/>
      <c r="R376" s="4" t="s">
        <v>30</v>
      </c>
      <c r="S376" s="5" t="n">
        <v>0</v>
      </c>
      <c r="T376" s="2"/>
    </row>
    <row r="377" customFormat="false" ht="15" hidden="false" customHeight="false" outlineLevel="0" collapsed="false">
      <c r="A377" s="2" t="s">
        <v>1498</v>
      </c>
      <c r="B377" s="3" t="n">
        <v>46037</v>
      </c>
      <c r="C377" s="3" t="n">
        <v>46037</v>
      </c>
      <c r="D377" s="2" t="s">
        <v>21</v>
      </c>
      <c r="E377" s="4" t="s">
        <v>33</v>
      </c>
      <c r="F377" s="5" t="n">
        <v>5500</v>
      </c>
      <c r="G377" s="6" t="n">
        <f aca="false">G376+IF(E377="Credit",F377,IF(E377="Debit",-F377,0))</f>
        <v>7900127</v>
      </c>
      <c r="H377" s="4" t="s">
        <v>34</v>
      </c>
      <c r="I377" s="2" t="s">
        <v>705</v>
      </c>
      <c r="J377" s="2" t="s">
        <v>706</v>
      </c>
      <c r="K377" s="4" t="s">
        <v>126</v>
      </c>
      <c r="L377" s="2" t="s">
        <v>127</v>
      </c>
      <c r="M377" s="4" t="s">
        <v>38</v>
      </c>
      <c r="N377" s="2" t="s">
        <v>1499</v>
      </c>
      <c r="O377" s="2" t="s">
        <v>129</v>
      </c>
      <c r="P377" s="2" t="s">
        <v>130</v>
      </c>
      <c r="Q377" s="2"/>
      <c r="R377" s="4" t="s">
        <v>30</v>
      </c>
      <c r="S377" s="5" t="n">
        <v>0</v>
      </c>
      <c r="T377" s="2"/>
    </row>
    <row r="378" customFormat="false" ht="15" hidden="false" customHeight="false" outlineLevel="0" collapsed="false">
      <c r="A378" s="2" t="s">
        <v>1500</v>
      </c>
      <c r="B378" s="3" t="n">
        <v>46038</v>
      </c>
      <c r="C378" s="3" t="n">
        <v>46038</v>
      </c>
      <c r="D378" s="2" t="s">
        <v>21</v>
      </c>
      <c r="E378" s="4" t="s">
        <v>33</v>
      </c>
      <c r="F378" s="5" t="n">
        <v>24000</v>
      </c>
      <c r="G378" s="6" t="n">
        <f aca="false">G377+IF(E378="Credit",F378,IF(E378="Debit",-F378,0))</f>
        <v>7876127</v>
      </c>
      <c r="H378" s="4" t="s">
        <v>685</v>
      </c>
      <c r="I378" s="2" t="s">
        <v>1501</v>
      </c>
      <c r="J378" s="2" t="s">
        <v>1502</v>
      </c>
      <c r="K378" s="4" t="s">
        <v>36</v>
      </c>
      <c r="L378" s="2" t="s">
        <v>37</v>
      </c>
      <c r="M378" s="4" t="s">
        <v>38</v>
      </c>
      <c r="N378" s="2" t="s">
        <v>1503</v>
      </c>
      <c r="O378" s="2" t="s">
        <v>160</v>
      </c>
      <c r="P378" s="2" t="s">
        <v>307</v>
      </c>
      <c r="Q378" s="2" t="s">
        <v>1504</v>
      </c>
      <c r="R378" s="4" t="s">
        <v>30</v>
      </c>
      <c r="S378" s="5" t="n">
        <v>3661</v>
      </c>
      <c r="T378" s="2" t="s">
        <v>188</v>
      </c>
    </row>
    <row r="379" customFormat="false" ht="15" hidden="false" customHeight="false" outlineLevel="0" collapsed="false">
      <c r="A379" s="2" t="s">
        <v>1505</v>
      </c>
      <c r="B379" s="3" t="n">
        <v>46039</v>
      </c>
      <c r="C379" s="3" t="n">
        <v>46041</v>
      </c>
      <c r="D379" s="2" t="s">
        <v>21</v>
      </c>
      <c r="E379" s="4" t="s">
        <v>52</v>
      </c>
      <c r="F379" s="5" t="n">
        <v>147500</v>
      </c>
      <c r="G379" s="6" t="n">
        <f aca="false">G378+IF(E379="Credit",F379,IF(E379="Debit",-F379,0))</f>
        <v>8023627</v>
      </c>
      <c r="H379" s="4" t="s">
        <v>348</v>
      </c>
      <c r="I379" s="2" t="s">
        <v>1506</v>
      </c>
      <c r="J379" s="2" t="s">
        <v>1507</v>
      </c>
      <c r="K379" s="4" t="s">
        <v>764</v>
      </c>
      <c r="L379" s="2" t="s">
        <v>765</v>
      </c>
      <c r="M379" s="4" t="s">
        <v>58</v>
      </c>
      <c r="N379" s="2" t="s">
        <v>1508</v>
      </c>
      <c r="O379" s="2" t="s">
        <v>60</v>
      </c>
      <c r="P379" s="2" t="s">
        <v>897</v>
      </c>
      <c r="Q379" s="2" t="s">
        <v>1443</v>
      </c>
      <c r="R379" s="4" t="s">
        <v>30</v>
      </c>
      <c r="S379" s="5" t="n">
        <v>22500</v>
      </c>
      <c r="T379" s="2" t="s">
        <v>1509</v>
      </c>
    </row>
    <row r="380" customFormat="false" ht="15" hidden="false" customHeight="false" outlineLevel="0" collapsed="false">
      <c r="A380" s="2" t="s">
        <v>1510</v>
      </c>
      <c r="B380" s="3" t="n">
        <v>46040</v>
      </c>
      <c r="C380" s="3" t="n">
        <v>46040</v>
      </c>
      <c r="D380" s="2" t="s">
        <v>21</v>
      </c>
      <c r="E380" s="4" t="s">
        <v>52</v>
      </c>
      <c r="F380" s="5" t="n">
        <v>153400</v>
      </c>
      <c r="G380" s="6" t="n">
        <f aca="false">G379+IF(E380="Credit",F380,IF(E380="Debit",-F380,0))</f>
        <v>8177027</v>
      </c>
      <c r="H380" s="4" t="s">
        <v>685</v>
      </c>
      <c r="I380" s="2" t="s">
        <v>932</v>
      </c>
      <c r="J380" s="2" t="s">
        <v>1511</v>
      </c>
      <c r="K380" s="4" t="s">
        <v>474</v>
      </c>
      <c r="L380" s="2" t="s">
        <v>475</v>
      </c>
      <c r="M380" s="4" t="s">
        <v>58</v>
      </c>
      <c r="N380" s="2" t="s">
        <v>1512</v>
      </c>
      <c r="O380" s="2" t="s">
        <v>60</v>
      </c>
      <c r="P380" s="2" t="s">
        <v>1139</v>
      </c>
      <c r="Q380" s="2" t="s">
        <v>1513</v>
      </c>
      <c r="R380" s="4" t="s">
        <v>30</v>
      </c>
      <c r="S380" s="5" t="n">
        <v>23400</v>
      </c>
      <c r="T380" s="2"/>
    </row>
    <row r="381" customFormat="false" ht="15" hidden="false" customHeight="false" outlineLevel="0" collapsed="false">
      <c r="A381" s="2" t="s">
        <v>1514</v>
      </c>
      <c r="B381" s="3" t="n">
        <v>46042</v>
      </c>
      <c r="C381" s="3" t="n">
        <v>46042</v>
      </c>
      <c r="D381" s="2" t="s">
        <v>21</v>
      </c>
      <c r="E381" s="4" t="s">
        <v>33</v>
      </c>
      <c r="F381" s="5" t="n">
        <v>57700</v>
      </c>
      <c r="G381" s="6" t="n">
        <f aca="false">G380+IF(E381="Credit",F381,IF(E381="Debit",-F381,0))</f>
        <v>8119327</v>
      </c>
      <c r="H381" s="4" t="s">
        <v>99</v>
      </c>
      <c r="I381" s="2" t="s">
        <v>172</v>
      </c>
      <c r="J381" s="2" t="s">
        <v>1515</v>
      </c>
      <c r="K381" s="4" t="s">
        <v>174</v>
      </c>
      <c r="L381" s="2" t="s">
        <v>175</v>
      </c>
      <c r="M381" s="4" t="s">
        <v>143</v>
      </c>
      <c r="N381" s="2" t="s">
        <v>1516</v>
      </c>
      <c r="O381" s="2" t="s">
        <v>177</v>
      </c>
      <c r="P381" s="2" t="s">
        <v>178</v>
      </c>
      <c r="Q381" s="2"/>
      <c r="R381" s="4" t="s">
        <v>30</v>
      </c>
      <c r="S381" s="5" t="n">
        <v>0</v>
      </c>
      <c r="T381" s="2"/>
    </row>
    <row r="382" customFormat="false" ht="15" hidden="false" customHeight="false" outlineLevel="0" collapsed="false">
      <c r="A382" s="2" t="s">
        <v>1517</v>
      </c>
      <c r="B382" s="3" t="n">
        <v>46043</v>
      </c>
      <c r="C382" s="3" t="n">
        <v>46043</v>
      </c>
      <c r="D382" s="2" t="s">
        <v>21</v>
      </c>
      <c r="E382" s="4" t="s">
        <v>52</v>
      </c>
      <c r="F382" s="5" t="n">
        <v>112000</v>
      </c>
      <c r="G382" s="6" t="n">
        <f aca="false">G381+IF(E382="Credit",F382,IF(E382="Debit",-F382,0))</f>
        <v>8231327</v>
      </c>
      <c r="H382" s="4" t="s">
        <v>53</v>
      </c>
      <c r="I382" s="2" t="s">
        <v>1518</v>
      </c>
      <c r="J382" s="2" t="s">
        <v>1519</v>
      </c>
      <c r="K382" s="4" t="s">
        <v>201</v>
      </c>
      <c r="L382" s="2" t="s">
        <v>202</v>
      </c>
      <c r="M382" s="4" t="s">
        <v>58</v>
      </c>
      <c r="N382" s="2" t="s">
        <v>1520</v>
      </c>
      <c r="O382" s="2" t="s">
        <v>60</v>
      </c>
      <c r="P382" s="2" t="s">
        <v>195</v>
      </c>
      <c r="Q382" s="2" t="s">
        <v>1521</v>
      </c>
      <c r="R382" s="4" t="s">
        <v>30</v>
      </c>
      <c r="S382" s="5" t="n">
        <v>12000</v>
      </c>
      <c r="T382" s="2"/>
    </row>
    <row r="383" customFormat="false" ht="15" hidden="false" customHeight="false" outlineLevel="0" collapsed="false">
      <c r="A383" s="2" t="s">
        <v>1522</v>
      </c>
      <c r="B383" s="3" t="n">
        <v>46043</v>
      </c>
      <c r="C383" s="3" t="n">
        <v>46043</v>
      </c>
      <c r="D383" s="2" t="s">
        <v>21</v>
      </c>
      <c r="E383" s="4" t="s">
        <v>52</v>
      </c>
      <c r="F383" s="5" t="n">
        <v>204800</v>
      </c>
      <c r="G383" s="6" t="n">
        <f aca="false">G382+IF(E383="Credit",F383,IF(E383="Debit",-F383,0))</f>
        <v>8436127</v>
      </c>
      <c r="H383" s="4" t="s">
        <v>53</v>
      </c>
      <c r="I383" s="2" t="s">
        <v>1523</v>
      </c>
      <c r="J383" s="2" t="s">
        <v>1524</v>
      </c>
      <c r="K383" s="4" t="s">
        <v>465</v>
      </c>
      <c r="L383" s="2" t="s">
        <v>466</v>
      </c>
      <c r="M383" s="4" t="s">
        <v>58</v>
      </c>
      <c r="N383" s="2" t="s">
        <v>1525</v>
      </c>
      <c r="O383" s="2" t="s">
        <v>60</v>
      </c>
      <c r="P383" s="2" t="s">
        <v>935</v>
      </c>
      <c r="Q383" s="2" t="s">
        <v>1526</v>
      </c>
      <c r="R383" s="4" t="s">
        <v>30</v>
      </c>
      <c r="S383" s="5" t="n">
        <v>44800</v>
      </c>
      <c r="T383" s="2"/>
    </row>
    <row r="384" customFormat="false" ht="15" hidden="false" customHeight="false" outlineLevel="0" collapsed="false">
      <c r="A384" s="2" t="s">
        <v>1527</v>
      </c>
      <c r="B384" s="3" t="n">
        <v>46043</v>
      </c>
      <c r="C384" s="3" t="n">
        <v>46043</v>
      </c>
      <c r="D384" s="2" t="s">
        <v>21</v>
      </c>
      <c r="E384" s="4" t="s">
        <v>33</v>
      </c>
      <c r="F384" s="5" t="n">
        <v>169920</v>
      </c>
      <c r="G384" s="6" t="n">
        <f aca="false">G383+IF(E384="Credit",F384,IF(E384="Debit",-F384,0))</f>
        <v>8266207</v>
      </c>
      <c r="H384" s="4" t="s">
        <v>99</v>
      </c>
      <c r="I384" s="2" t="s">
        <v>647</v>
      </c>
      <c r="J384" s="2" t="s">
        <v>1528</v>
      </c>
      <c r="K384" s="4" t="s">
        <v>183</v>
      </c>
      <c r="L384" s="2" t="s">
        <v>184</v>
      </c>
      <c r="M384" s="4" t="s">
        <v>167</v>
      </c>
      <c r="N384" s="2" t="s">
        <v>1529</v>
      </c>
      <c r="O384" s="2" t="s">
        <v>160</v>
      </c>
      <c r="P384" s="2" t="s">
        <v>1530</v>
      </c>
      <c r="Q384" s="2" t="s">
        <v>1531</v>
      </c>
      <c r="R384" s="4" t="s">
        <v>30</v>
      </c>
      <c r="S384" s="5" t="n">
        <v>25920</v>
      </c>
      <c r="T384" s="2"/>
    </row>
    <row r="385" customFormat="false" ht="15" hidden="false" customHeight="false" outlineLevel="0" collapsed="false">
      <c r="A385" s="2" t="s">
        <v>1532</v>
      </c>
      <c r="B385" s="3" t="n">
        <v>46043</v>
      </c>
      <c r="C385" s="3" t="n">
        <v>46043</v>
      </c>
      <c r="D385" s="2" t="s">
        <v>21</v>
      </c>
      <c r="E385" s="4" t="s">
        <v>33</v>
      </c>
      <c r="F385" s="5" t="n">
        <v>670</v>
      </c>
      <c r="G385" s="6" t="n">
        <f aca="false">G384+IF(E385="Credit",F385,IF(E385="Debit",-F385,0))</f>
        <v>8265537</v>
      </c>
      <c r="H385" s="4" t="s">
        <v>53</v>
      </c>
      <c r="I385" s="2" t="s">
        <v>214</v>
      </c>
      <c r="J385" s="2" t="s">
        <v>1533</v>
      </c>
      <c r="K385" s="4" t="s">
        <v>67</v>
      </c>
      <c r="L385" s="2" t="s">
        <v>68</v>
      </c>
      <c r="M385" s="4" t="s">
        <v>69</v>
      </c>
      <c r="N385" s="2" t="s">
        <v>1534</v>
      </c>
      <c r="O385" s="2" t="s">
        <v>96</v>
      </c>
      <c r="P385" s="2" t="s">
        <v>217</v>
      </c>
      <c r="Q385" s="2"/>
      <c r="R385" s="4" t="s">
        <v>30</v>
      </c>
      <c r="S385" s="5" t="n">
        <v>0</v>
      </c>
      <c r="T385" s="2"/>
    </row>
    <row r="386" customFormat="false" ht="15" hidden="false" customHeight="false" outlineLevel="0" collapsed="false">
      <c r="A386" s="2" t="s">
        <v>1535</v>
      </c>
      <c r="B386" s="3" t="n">
        <v>46044</v>
      </c>
      <c r="C386" s="3" t="n">
        <v>46044</v>
      </c>
      <c r="D386" s="2" t="s">
        <v>21</v>
      </c>
      <c r="E386" s="4" t="s">
        <v>52</v>
      </c>
      <c r="F386" s="5" t="n">
        <v>128000</v>
      </c>
      <c r="G386" s="6" t="n">
        <f aca="false">G385+IF(E386="Credit",F386,IF(E386="Debit",-F386,0))</f>
        <v>8393537</v>
      </c>
      <c r="H386" s="4" t="s">
        <v>99</v>
      </c>
      <c r="I386" s="2" t="s">
        <v>1207</v>
      </c>
      <c r="J386" s="2" t="s">
        <v>1536</v>
      </c>
      <c r="K386" s="4" t="s">
        <v>1136</v>
      </c>
      <c r="L386" s="2" t="s">
        <v>1137</v>
      </c>
      <c r="M386" s="4" t="s">
        <v>58</v>
      </c>
      <c r="N386" s="2" t="s">
        <v>1537</v>
      </c>
      <c r="O386" s="2" t="s">
        <v>60</v>
      </c>
      <c r="P386" s="2" t="s">
        <v>204</v>
      </c>
      <c r="Q386" s="2" t="s">
        <v>1538</v>
      </c>
      <c r="R386" s="4" t="s">
        <v>30</v>
      </c>
      <c r="S386" s="5" t="n">
        <v>28000</v>
      </c>
      <c r="T386" s="2" t="s">
        <v>413</v>
      </c>
    </row>
    <row r="387" customFormat="false" ht="15" hidden="false" customHeight="false" outlineLevel="0" collapsed="false">
      <c r="A387" s="2" t="s">
        <v>1539</v>
      </c>
      <c r="B387" s="3" t="n">
        <v>46044</v>
      </c>
      <c r="C387" s="3" t="n">
        <v>46044</v>
      </c>
      <c r="D387" s="2" t="s">
        <v>21</v>
      </c>
      <c r="E387" s="4" t="s">
        <v>33</v>
      </c>
      <c r="F387" s="5" t="n">
        <v>4700</v>
      </c>
      <c r="G387" s="6" t="n">
        <f aca="false">G386+IF(E387="Credit",F387,IF(E387="Debit",-F387,0))</f>
        <v>8388837</v>
      </c>
      <c r="H387" s="4" t="s">
        <v>289</v>
      </c>
      <c r="I387" s="2" t="s">
        <v>1063</v>
      </c>
      <c r="J387" s="2" t="s">
        <v>1063</v>
      </c>
      <c r="K387" s="4" t="s">
        <v>36</v>
      </c>
      <c r="L387" s="2" t="s">
        <v>37</v>
      </c>
      <c r="M387" s="4" t="s">
        <v>38</v>
      </c>
      <c r="N387" s="2" t="s">
        <v>1540</v>
      </c>
      <c r="O387" s="2" t="s">
        <v>40</v>
      </c>
      <c r="P387" s="2" t="s">
        <v>41</v>
      </c>
      <c r="Q387" s="2"/>
      <c r="R387" s="4" t="s">
        <v>30</v>
      </c>
      <c r="S387" s="5" t="n">
        <v>0</v>
      </c>
      <c r="T387" s="2"/>
    </row>
    <row r="388" customFormat="false" ht="15" hidden="false" customHeight="false" outlineLevel="0" collapsed="false">
      <c r="A388" s="2" t="s">
        <v>1541</v>
      </c>
      <c r="B388" s="3" t="n">
        <v>46046</v>
      </c>
      <c r="C388" s="3" t="n">
        <v>46046</v>
      </c>
      <c r="D388" s="2" t="s">
        <v>21</v>
      </c>
      <c r="E388" s="4" t="s">
        <v>52</v>
      </c>
      <c r="F388" s="5" t="n">
        <v>893732</v>
      </c>
      <c r="G388" s="6" t="n">
        <f aca="false">G387+IF(E388="Credit",F388,IF(E388="Debit",-F388,0))</f>
        <v>9282569</v>
      </c>
      <c r="H388" s="4" t="s">
        <v>74</v>
      </c>
      <c r="I388" s="2" t="s">
        <v>1542</v>
      </c>
      <c r="J388" s="2" t="s">
        <v>1543</v>
      </c>
      <c r="K388" s="4" t="s">
        <v>960</v>
      </c>
      <c r="L388" s="2" t="s">
        <v>961</v>
      </c>
      <c r="M388" s="4" t="s">
        <v>58</v>
      </c>
      <c r="N388" s="2" t="s">
        <v>1544</v>
      </c>
      <c r="O388" s="2" t="s">
        <v>60</v>
      </c>
      <c r="P388" s="2" t="s">
        <v>366</v>
      </c>
      <c r="Q388" s="2" t="s">
        <v>1545</v>
      </c>
      <c r="R388" s="4" t="s">
        <v>30</v>
      </c>
      <c r="S388" s="5" t="n">
        <v>136332</v>
      </c>
      <c r="T388" s="2" t="s">
        <v>1546</v>
      </c>
    </row>
    <row r="389" customFormat="false" ht="15" hidden="false" customHeight="false" outlineLevel="0" collapsed="false">
      <c r="A389" s="2" t="s">
        <v>1547</v>
      </c>
      <c r="B389" s="3" t="n">
        <v>46050</v>
      </c>
      <c r="C389" s="3" t="n">
        <v>46050</v>
      </c>
      <c r="D389" s="2" t="s">
        <v>21</v>
      </c>
      <c r="E389" s="4" t="s">
        <v>33</v>
      </c>
      <c r="F389" s="5" t="n">
        <v>74000</v>
      </c>
      <c r="G389" s="6" t="n">
        <f aca="false">G388+IF(E389="Credit",F389,IF(E389="Debit",-F389,0))</f>
        <v>9208569</v>
      </c>
      <c r="H389" s="4" t="s">
        <v>53</v>
      </c>
      <c r="I389" s="2" t="s">
        <v>219</v>
      </c>
      <c r="J389" s="2" t="s">
        <v>1548</v>
      </c>
      <c r="K389" s="4" t="s">
        <v>221</v>
      </c>
      <c r="L389" s="2" t="s">
        <v>222</v>
      </c>
      <c r="M389" s="4" t="s">
        <v>223</v>
      </c>
      <c r="N389" s="2" t="s">
        <v>1549</v>
      </c>
      <c r="O389" s="2" t="s">
        <v>225</v>
      </c>
      <c r="P389" s="2" t="s">
        <v>226</v>
      </c>
      <c r="Q389" s="2"/>
      <c r="R389" s="4" t="s">
        <v>30</v>
      </c>
      <c r="S389" s="5" t="n">
        <v>0</v>
      </c>
      <c r="T389" s="2"/>
    </row>
    <row r="390" customFormat="false" ht="15" hidden="false" customHeight="false" outlineLevel="0" collapsed="false">
      <c r="A390" s="2" t="s">
        <v>1550</v>
      </c>
      <c r="B390" s="3" t="n">
        <v>46050</v>
      </c>
      <c r="C390" s="3" t="n">
        <v>46050</v>
      </c>
      <c r="D390" s="2" t="s">
        <v>21</v>
      </c>
      <c r="E390" s="4" t="s">
        <v>33</v>
      </c>
      <c r="F390" s="5" t="n">
        <v>99800</v>
      </c>
      <c r="G390" s="6" t="n">
        <f aca="false">G389+IF(E390="Credit",F390,IF(E390="Debit",-F390,0))</f>
        <v>9108769</v>
      </c>
      <c r="H390" s="4" t="s">
        <v>53</v>
      </c>
      <c r="I390" s="2" t="s">
        <v>228</v>
      </c>
      <c r="J390" s="2" t="s">
        <v>1548</v>
      </c>
      <c r="K390" s="4" t="s">
        <v>229</v>
      </c>
      <c r="L390" s="2" t="s">
        <v>230</v>
      </c>
      <c r="M390" s="4" t="s">
        <v>223</v>
      </c>
      <c r="N390" s="2" t="s">
        <v>1551</v>
      </c>
      <c r="O390" s="2" t="s">
        <v>225</v>
      </c>
      <c r="P390" s="2" t="s">
        <v>226</v>
      </c>
      <c r="Q390" s="2"/>
      <c r="R390" s="4" t="s">
        <v>30</v>
      </c>
      <c r="S390" s="5" t="n">
        <v>0</v>
      </c>
      <c r="T390" s="2"/>
    </row>
    <row r="391" customFormat="false" ht="15" hidden="false" customHeight="false" outlineLevel="0" collapsed="false">
      <c r="A391" s="2" t="s">
        <v>1552</v>
      </c>
      <c r="B391" s="3" t="n">
        <v>46050</v>
      </c>
      <c r="C391" s="3" t="n">
        <v>46050</v>
      </c>
      <c r="D391" s="2" t="s">
        <v>21</v>
      </c>
      <c r="E391" s="4" t="s">
        <v>33</v>
      </c>
      <c r="F391" s="5" t="n">
        <v>128600</v>
      </c>
      <c r="G391" s="6" t="n">
        <f aca="false">G390+IF(E391="Credit",F391,IF(E391="Debit",-F391,0))</f>
        <v>8980169</v>
      </c>
      <c r="H391" s="4" t="s">
        <v>53</v>
      </c>
      <c r="I391" s="2" t="s">
        <v>233</v>
      </c>
      <c r="J391" s="2" t="s">
        <v>1548</v>
      </c>
      <c r="K391" s="4" t="s">
        <v>234</v>
      </c>
      <c r="L391" s="2" t="s">
        <v>235</v>
      </c>
      <c r="M391" s="4" t="s">
        <v>223</v>
      </c>
      <c r="N391" s="2" t="s">
        <v>1553</v>
      </c>
      <c r="O391" s="2" t="s">
        <v>225</v>
      </c>
      <c r="P391" s="2" t="s">
        <v>237</v>
      </c>
      <c r="Q391" s="2"/>
      <c r="R391" s="4" t="s">
        <v>30</v>
      </c>
      <c r="S391" s="5" t="n">
        <v>0</v>
      </c>
      <c r="T391" s="2"/>
    </row>
    <row r="392" customFormat="false" ht="15" hidden="false" customHeight="false" outlineLevel="0" collapsed="false">
      <c r="A392" s="2" t="s">
        <v>1554</v>
      </c>
      <c r="B392" s="3" t="n">
        <v>46050</v>
      </c>
      <c r="C392" s="3" t="n">
        <v>46050</v>
      </c>
      <c r="D392" s="2" t="s">
        <v>21</v>
      </c>
      <c r="E392" s="4" t="s">
        <v>33</v>
      </c>
      <c r="F392" s="5" t="n">
        <v>76500</v>
      </c>
      <c r="G392" s="6" t="n">
        <f aca="false">G391+IF(E392="Credit",F392,IF(E392="Debit",-F392,0))</f>
        <v>8903669</v>
      </c>
      <c r="H392" s="4" t="s">
        <v>53</v>
      </c>
      <c r="I392" s="2" t="s">
        <v>239</v>
      </c>
      <c r="J392" s="2" t="s">
        <v>1548</v>
      </c>
      <c r="K392" s="4" t="s">
        <v>240</v>
      </c>
      <c r="L392" s="2" t="s">
        <v>241</v>
      </c>
      <c r="M392" s="4" t="s">
        <v>223</v>
      </c>
      <c r="N392" s="2" t="s">
        <v>1555</v>
      </c>
      <c r="O392" s="2" t="s">
        <v>225</v>
      </c>
      <c r="P392" s="2" t="s">
        <v>243</v>
      </c>
      <c r="Q392" s="2"/>
      <c r="R392" s="4" t="s">
        <v>30</v>
      </c>
      <c r="S392" s="5" t="n">
        <v>0</v>
      </c>
      <c r="T392" s="2"/>
    </row>
    <row r="393" customFormat="false" ht="15" hidden="false" customHeight="false" outlineLevel="0" collapsed="false">
      <c r="A393" s="2" t="s">
        <v>1556</v>
      </c>
      <c r="B393" s="3" t="n">
        <v>46050</v>
      </c>
      <c r="C393" s="3" t="n">
        <v>46050</v>
      </c>
      <c r="D393" s="2" t="s">
        <v>21</v>
      </c>
      <c r="E393" s="4" t="s">
        <v>33</v>
      </c>
      <c r="F393" s="5" t="n">
        <v>103900</v>
      </c>
      <c r="G393" s="6" t="n">
        <f aca="false">G392+IF(E393="Credit",F393,IF(E393="Debit",-F393,0))</f>
        <v>8799769</v>
      </c>
      <c r="H393" s="4" t="s">
        <v>53</v>
      </c>
      <c r="I393" s="2" t="s">
        <v>245</v>
      </c>
      <c r="J393" s="2" t="s">
        <v>1548</v>
      </c>
      <c r="K393" s="4" t="s">
        <v>246</v>
      </c>
      <c r="L393" s="2" t="s">
        <v>247</v>
      </c>
      <c r="M393" s="4" t="s">
        <v>223</v>
      </c>
      <c r="N393" s="2" t="s">
        <v>1557</v>
      </c>
      <c r="O393" s="2" t="s">
        <v>225</v>
      </c>
      <c r="P393" s="2" t="s">
        <v>226</v>
      </c>
      <c r="Q393" s="2"/>
      <c r="R393" s="4" t="s">
        <v>30</v>
      </c>
      <c r="S393" s="5" t="n">
        <v>0</v>
      </c>
      <c r="T393" s="2"/>
    </row>
    <row r="394" customFormat="false" ht="15" hidden="false" customHeight="false" outlineLevel="0" collapsed="false">
      <c r="A394" s="2" t="s">
        <v>1558</v>
      </c>
      <c r="B394" s="3" t="n">
        <v>46050</v>
      </c>
      <c r="C394" s="3" t="n">
        <v>46050</v>
      </c>
      <c r="D394" s="2" t="s">
        <v>21</v>
      </c>
      <c r="E394" s="4" t="s">
        <v>33</v>
      </c>
      <c r="F394" s="5" t="n">
        <v>67300</v>
      </c>
      <c r="G394" s="6" t="n">
        <f aca="false">G393+IF(E394="Credit",F394,IF(E394="Debit",-F394,0))</f>
        <v>8732469</v>
      </c>
      <c r="H394" s="4" t="s">
        <v>53</v>
      </c>
      <c r="I394" s="2" t="s">
        <v>250</v>
      </c>
      <c r="J394" s="2" t="s">
        <v>1548</v>
      </c>
      <c r="K394" s="4" t="s">
        <v>251</v>
      </c>
      <c r="L394" s="2" t="s">
        <v>252</v>
      </c>
      <c r="M394" s="4" t="s">
        <v>223</v>
      </c>
      <c r="N394" s="2" t="s">
        <v>1559</v>
      </c>
      <c r="O394" s="2" t="s">
        <v>225</v>
      </c>
      <c r="P394" s="2" t="s">
        <v>226</v>
      </c>
      <c r="Q394" s="2"/>
      <c r="R394" s="4" t="s">
        <v>30</v>
      </c>
      <c r="S394" s="5" t="n">
        <v>0</v>
      </c>
      <c r="T394" s="2"/>
    </row>
    <row r="395" customFormat="false" ht="15" hidden="false" customHeight="false" outlineLevel="0" collapsed="false">
      <c r="A395" s="2" t="s">
        <v>1560</v>
      </c>
      <c r="B395" s="3" t="n">
        <v>46050</v>
      </c>
      <c r="C395" s="3" t="n">
        <v>46050</v>
      </c>
      <c r="D395" s="2" t="s">
        <v>21</v>
      </c>
      <c r="E395" s="4" t="s">
        <v>33</v>
      </c>
      <c r="F395" s="5" t="n">
        <v>82800</v>
      </c>
      <c r="G395" s="6" t="n">
        <f aca="false">G394+IF(E395="Credit",F395,IF(E395="Debit",-F395,0))</f>
        <v>8649669</v>
      </c>
      <c r="H395" s="4" t="s">
        <v>53</v>
      </c>
      <c r="I395" s="2" t="s">
        <v>255</v>
      </c>
      <c r="J395" s="2" t="s">
        <v>1548</v>
      </c>
      <c r="K395" s="4" t="s">
        <v>256</v>
      </c>
      <c r="L395" s="2" t="s">
        <v>257</v>
      </c>
      <c r="M395" s="4" t="s">
        <v>223</v>
      </c>
      <c r="N395" s="2" t="s">
        <v>1561</v>
      </c>
      <c r="O395" s="2" t="s">
        <v>225</v>
      </c>
      <c r="P395" s="2" t="s">
        <v>237</v>
      </c>
      <c r="Q395" s="2"/>
      <c r="R395" s="4" t="s">
        <v>30</v>
      </c>
      <c r="S395" s="5" t="n">
        <v>0</v>
      </c>
      <c r="T395" s="2"/>
    </row>
    <row r="396" customFormat="false" ht="15" hidden="false" customHeight="false" outlineLevel="0" collapsed="false">
      <c r="A396" s="2" t="s">
        <v>1562</v>
      </c>
      <c r="B396" s="3" t="n">
        <v>46050</v>
      </c>
      <c r="C396" s="3" t="n">
        <v>46050</v>
      </c>
      <c r="D396" s="2" t="s">
        <v>21</v>
      </c>
      <c r="E396" s="4" t="s">
        <v>33</v>
      </c>
      <c r="F396" s="5" t="n">
        <v>90900</v>
      </c>
      <c r="G396" s="6" t="n">
        <f aca="false">G395+IF(E396="Credit",F396,IF(E396="Debit",-F396,0))</f>
        <v>8558769</v>
      </c>
      <c r="H396" s="4" t="s">
        <v>53</v>
      </c>
      <c r="I396" s="2" t="s">
        <v>260</v>
      </c>
      <c r="J396" s="2" t="s">
        <v>1548</v>
      </c>
      <c r="K396" s="4" t="s">
        <v>261</v>
      </c>
      <c r="L396" s="2" t="s">
        <v>262</v>
      </c>
      <c r="M396" s="4" t="s">
        <v>223</v>
      </c>
      <c r="N396" s="2" t="s">
        <v>1563</v>
      </c>
      <c r="O396" s="2" t="s">
        <v>225</v>
      </c>
      <c r="P396" s="2" t="s">
        <v>264</v>
      </c>
      <c r="Q396" s="2"/>
      <c r="R396" s="4" t="s">
        <v>30</v>
      </c>
      <c r="S396" s="5" t="n">
        <v>0</v>
      </c>
      <c r="T396" s="2"/>
    </row>
    <row r="397" customFormat="false" ht="15" hidden="false" customHeight="false" outlineLevel="0" collapsed="false">
      <c r="A397" s="2" t="s">
        <v>1564</v>
      </c>
      <c r="B397" s="3" t="n">
        <v>46050</v>
      </c>
      <c r="C397" s="3" t="n">
        <v>46050</v>
      </c>
      <c r="D397" s="2" t="s">
        <v>21</v>
      </c>
      <c r="E397" s="4" t="s">
        <v>33</v>
      </c>
      <c r="F397" s="5" t="n">
        <v>62500</v>
      </c>
      <c r="G397" s="6" t="n">
        <f aca="false">G396+IF(E397="Credit",F397,IF(E397="Debit",-F397,0))</f>
        <v>8496269</v>
      </c>
      <c r="H397" s="4" t="s">
        <v>53</v>
      </c>
      <c r="I397" s="2" t="s">
        <v>266</v>
      </c>
      <c r="J397" s="2" t="s">
        <v>1548</v>
      </c>
      <c r="K397" s="4" t="s">
        <v>267</v>
      </c>
      <c r="L397" s="2" t="s">
        <v>268</v>
      </c>
      <c r="M397" s="4" t="s">
        <v>223</v>
      </c>
      <c r="N397" s="2" t="s">
        <v>1565</v>
      </c>
      <c r="O397" s="2" t="s">
        <v>225</v>
      </c>
      <c r="P397" s="2" t="s">
        <v>270</v>
      </c>
      <c r="Q397" s="2"/>
      <c r="R397" s="4" t="s">
        <v>30</v>
      </c>
      <c r="S397" s="5" t="n">
        <v>0</v>
      </c>
      <c r="T397" s="2"/>
    </row>
    <row r="398" customFormat="false" ht="15" hidden="false" customHeight="false" outlineLevel="0" collapsed="false">
      <c r="A398" s="2" t="s">
        <v>1566</v>
      </c>
      <c r="B398" s="3" t="n">
        <v>46050</v>
      </c>
      <c r="C398" s="3" t="n">
        <v>46050</v>
      </c>
      <c r="D398" s="2" t="s">
        <v>21</v>
      </c>
      <c r="E398" s="4" t="s">
        <v>33</v>
      </c>
      <c r="F398" s="5" t="n">
        <v>87100</v>
      </c>
      <c r="G398" s="6" t="n">
        <f aca="false">G397+IF(E398="Credit",F398,IF(E398="Debit",-F398,0))</f>
        <v>8409169</v>
      </c>
      <c r="H398" s="4" t="s">
        <v>53</v>
      </c>
      <c r="I398" s="2" t="s">
        <v>272</v>
      </c>
      <c r="J398" s="2" t="s">
        <v>1548</v>
      </c>
      <c r="K398" s="4" t="s">
        <v>273</v>
      </c>
      <c r="L398" s="2" t="s">
        <v>274</v>
      </c>
      <c r="M398" s="4" t="s">
        <v>223</v>
      </c>
      <c r="N398" s="2" t="s">
        <v>1567</v>
      </c>
      <c r="O398" s="2" t="s">
        <v>225</v>
      </c>
      <c r="P398" s="2" t="s">
        <v>276</v>
      </c>
      <c r="Q398" s="2"/>
      <c r="R398" s="4" t="s">
        <v>30</v>
      </c>
      <c r="S398" s="5" t="n">
        <v>0</v>
      </c>
      <c r="T398" s="2"/>
    </row>
    <row r="399" customFormat="false" ht="15" hidden="false" customHeight="false" outlineLevel="0" collapsed="false">
      <c r="A399" s="2" t="s">
        <v>1568</v>
      </c>
      <c r="B399" s="3" t="n">
        <v>46050</v>
      </c>
      <c r="C399" s="3" t="n">
        <v>46050</v>
      </c>
      <c r="D399" s="2" t="s">
        <v>21</v>
      </c>
      <c r="E399" s="4" t="s">
        <v>33</v>
      </c>
      <c r="F399" s="5" t="n">
        <v>145800</v>
      </c>
      <c r="G399" s="6" t="n">
        <f aca="false">G398+IF(E399="Credit",F399,IF(E399="Debit",-F399,0))</f>
        <v>8263369</v>
      </c>
      <c r="H399" s="4" t="s">
        <v>53</v>
      </c>
      <c r="I399" s="2" t="s">
        <v>278</v>
      </c>
      <c r="J399" s="2" t="s">
        <v>1548</v>
      </c>
      <c r="K399" s="4" t="s">
        <v>279</v>
      </c>
      <c r="L399" s="2" t="s">
        <v>280</v>
      </c>
      <c r="M399" s="4" t="s">
        <v>223</v>
      </c>
      <c r="N399" s="2" t="s">
        <v>1569</v>
      </c>
      <c r="O399" s="2" t="s">
        <v>225</v>
      </c>
      <c r="P399" s="2" t="s">
        <v>226</v>
      </c>
      <c r="Q399" s="2"/>
      <c r="R399" s="4" t="s">
        <v>30</v>
      </c>
      <c r="S399" s="5" t="n">
        <v>0</v>
      </c>
      <c r="T399" s="2"/>
    </row>
    <row r="400" customFormat="false" ht="15" hidden="false" customHeight="false" outlineLevel="0" collapsed="false">
      <c r="A400" s="2" t="s">
        <v>1570</v>
      </c>
      <c r="B400" s="3" t="n">
        <v>46050</v>
      </c>
      <c r="C400" s="3" t="n">
        <v>46050</v>
      </c>
      <c r="D400" s="2" t="s">
        <v>21</v>
      </c>
      <c r="E400" s="4" t="s">
        <v>33</v>
      </c>
      <c r="F400" s="5" t="n">
        <v>59100</v>
      </c>
      <c r="G400" s="6" t="n">
        <f aca="false">G399+IF(E400="Credit",F400,IF(E400="Debit",-F400,0))</f>
        <v>8204269</v>
      </c>
      <c r="H400" s="4" t="s">
        <v>53</v>
      </c>
      <c r="I400" s="2" t="s">
        <v>283</v>
      </c>
      <c r="J400" s="2" t="s">
        <v>1548</v>
      </c>
      <c r="K400" s="4" t="s">
        <v>284</v>
      </c>
      <c r="L400" s="2" t="s">
        <v>285</v>
      </c>
      <c r="M400" s="4" t="s">
        <v>223</v>
      </c>
      <c r="N400" s="2" t="s">
        <v>1571</v>
      </c>
      <c r="O400" s="2" t="s">
        <v>225</v>
      </c>
      <c r="P400" s="2" t="s">
        <v>287</v>
      </c>
      <c r="Q400" s="2"/>
      <c r="R400" s="4" t="s">
        <v>30</v>
      </c>
      <c r="S400" s="5" t="n">
        <v>0</v>
      </c>
      <c r="T400" s="2"/>
    </row>
    <row r="401" customFormat="false" ht="15" hidden="false" customHeight="false" outlineLevel="0" collapsed="false">
      <c r="A401" s="2" t="s">
        <v>1572</v>
      </c>
      <c r="B401" s="3" t="n">
        <v>46051</v>
      </c>
      <c r="C401" s="3" t="n">
        <v>46051</v>
      </c>
      <c r="D401" s="2" t="s">
        <v>21</v>
      </c>
      <c r="E401" s="4" t="s">
        <v>52</v>
      </c>
      <c r="F401" s="5" t="n">
        <v>826000</v>
      </c>
      <c r="G401" s="6" t="n">
        <f aca="false">G400+IF(E401="Credit",F401,IF(E401="Debit",-F401,0))</f>
        <v>9030269</v>
      </c>
      <c r="H401" s="4" t="s">
        <v>74</v>
      </c>
      <c r="I401" s="2" t="s">
        <v>1134</v>
      </c>
      <c r="J401" s="2" t="s">
        <v>1573</v>
      </c>
      <c r="K401" s="4" t="s">
        <v>1136</v>
      </c>
      <c r="L401" s="2" t="s">
        <v>1137</v>
      </c>
      <c r="M401" s="4" t="s">
        <v>58</v>
      </c>
      <c r="N401" s="2" t="s">
        <v>1574</v>
      </c>
      <c r="O401" s="2" t="s">
        <v>60</v>
      </c>
      <c r="P401" s="2" t="s">
        <v>477</v>
      </c>
      <c r="Q401" s="2" t="s">
        <v>1575</v>
      </c>
      <c r="R401" s="4" t="s">
        <v>30</v>
      </c>
      <c r="S401" s="5" t="n">
        <v>126000</v>
      </c>
      <c r="T401" s="2"/>
    </row>
    <row r="402" customFormat="false" ht="15" hidden="false" customHeight="false" outlineLevel="0" collapsed="false">
      <c r="A402" s="2" t="s">
        <v>1576</v>
      </c>
      <c r="B402" s="3" t="n">
        <v>46051</v>
      </c>
      <c r="C402" s="3" t="n">
        <v>46051</v>
      </c>
      <c r="D402" s="2" t="s">
        <v>21</v>
      </c>
      <c r="E402" s="4" t="s">
        <v>33</v>
      </c>
      <c r="F402" s="5" t="n">
        <v>27188</v>
      </c>
      <c r="G402" s="6" t="n">
        <f aca="false">G401+IF(E402="Credit",F402,IF(E402="Debit",-F402,0))</f>
        <v>9003081</v>
      </c>
      <c r="H402" s="4" t="s">
        <v>180</v>
      </c>
      <c r="I402" s="2" t="s">
        <v>304</v>
      </c>
      <c r="J402" s="2" t="s">
        <v>1577</v>
      </c>
      <c r="K402" s="4" t="s">
        <v>36</v>
      </c>
      <c r="L402" s="2" t="s">
        <v>37</v>
      </c>
      <c r="M402" s="4" t="s">
        <v>38</v>
      </c>
      <c r="N402" s="2" t="s">
        <v>1578</v>
      </c>
      <c r="O402" s="2" t="s">
        <v>160</v>
      </c>
      <c r="P402" s="2" t="s">
        <v>1579</v>
      </c>
      <c r="Q402" s="2" t="s">
        <v>1580</v>
      </c>
      <c r="R402" s="4" t="s">
        <v>30</v>
      </c>
      <c r="S402" s="5" t="n">
        <v>4148</v>
      </c>
      <c r="T402" s="2" t="s">
        <v>413</v>
      </c>
    </row>
    <row r="403" customFormat="false" ht="15" hidden="false" customHeight="false" outlineLevel="0" collapsed="false">
      <c r="A403" s="2" t="s">
        <v>1581</v>
      </c>
      <c r="B403" s="3" t="n">
        <v>46052</v>
      </c>
      <c r="C403" s="3" t="n">
        <v>46052</v>
      </c>
      <c r="D403" s="2" t="s">
        <v>21</v>
      </c>
      <c r="E403" s="4" t="s">
        <v>33</v>
      </c>
      <c r="F403" s="5" t="n">
        <v>41300</v>
      </c>
      <c r="G403" s="6" t="n">
        <f aca="false">G402+IF(E403="Credit",F403,IF(E403="Debit",-F403,0))</f>
        <v>8961781</v>
      </c>
      <c r="H403" s="4" t="s">
        <v>99</v>
      </c>
      <c r="I403" s="2" t="s">
        <v>1266</v>
      </c>
      <c r="J403" s="2" t="s">
        <v>1582</v>
      </c>
      <c r="K403" s="4" t="s">
        <v>631</v>
      </c>
      <c r="L403" s="2" t="s">
        <v>632</v>
      </c>
      <c r="M403" s="4" t="s">
        <v>38</v>
      </c>
      <c r="N403" s="2" t="s">
        <v>1583</v>
      </c>
      <c r="O403" s="2" t="s">
        <v>160</v>
      </c>
      <c r="P403" s="2" t="s">
        <v>1584</v>
      </c>
      <c r="Q403" s="2" t="s">
        <v>1585</v>
      </c>
      <c r="R403" s="4" t="s">
        <v>30</v>
      </c>
      <c r="S403" s="5" t="n">
        <v>6300</v>
      </c>
      <c r="T403" s="2"/>
    </row>
    <row r="404" customFormat="false" ht="15" hidden="false" customHeight="false" outlineLevel="0" collapsed="false">
      <c r="A404" s="2" t="s">
        <v>1586</v>
      </c>
      <c r="B404" s="3" t="n">
        <v>46054</v>
      </c>
      <c r="C404" s="3" t="n">
        <v>46054</v>
      </c>
      <c r="D404" s="2" t="s">
        <v>21</v>
      </c>
      <c r="E404" s="4" t="s">
        <v>52</v>
      </c>
      <c r="F404" s="5" t="n">
        <v>295000</v>
      </c>
      <c r="G404" s="6" t="n">
        <f aca="false">G403+IF(E404="Credit",F404,IF(E404="Debit",-F404,0))</f>
        <v>9256781</v>
      </c>
      <c r="H404" s="4" t="s">
        <v>99</v>
      </c>
      <c r="I404" s="2" t="s">
        <v>445</v>
      </c>
      <c r="J404" s="2" t="s">
        <v>1587</v>
      </c>
      <c r="K404" s="4" t="s">
        <v>447</v>
      </c>
      <c r="L404" s="2" t="s">
        <v>448</v>
      </c>
      <c r="M404" s="4" t="s">
        <v>58</v>
      </c>
      <c r="N404" s="2" t="s">
        <v>1588</v>
      </c>
      <c r="O404" s="2" t="s">
        <v>60</v>
      </c>
      <c r="P404" s="2" t="s">
        <v>897</v>
      </c>
      <c r="Q404" s="2" t="s">
        <v>1589</v>
      </c>
      <c r="R404" s="4" t="s">
        <v>30</v>
      </c>
      <c r="S404" s="5" t="n">
        <v>45000</v>
      </c>
      <c r="T404" s="2"/>
    </row>
    <row r="405" customFormat="false" ht="15" hidden="false" customHeight="false" outlineLevel="0" collapsed="false">
      <c r="A405" s="2" t="s">
        <v>1590</v>
      </c>
      <c r="B405" s="3" t="n">
        <v>46055</v>
      </c>
      <c r="C405" s="3" t="n">
        <v>46055</v>
      </c>
      <c r="D405" s="2" t="s">
        <v>21</v>
      </c>
      <c r="E405" s="4" t="s">
        <v>52</v>
      </c>
      <c r="F405" s="5" t="n">
        <v>137984</v>
      </c>
      <c r="G405" s="6" t="n">
        <f aca="false">G404+IF(E405="Credit",F405,IF(E405="Debit",-F405,0))</f>
        <v>9394765</v>
      </c>
      <c r="H405" s="4" t="s">
        <v>99</v>
      </c>
      <c r="I405" s="2" t="s">
        <v>190</v>
      </c>
      <c r="J405" s="2" t="s">
        <v>1591</v>
      </c>
      <c r="K405" s="4" t="s">
        <v>192</v>
      </c>
      <c r="L405" s="2" t="s">
        <v>193</v>
      </c>
      <c r="M405" s="4" t="s">
        <v>58</v>
      </c>
      <c r="N405" s="2" t="s">
        <v>1592</v>
      </c>
      <c r="O405" s="2" t="s">
        <v>60</v>
      </c>
      <c r="P405" s="2" t="s">
        <v>711</v>
      </c>
      <c r="Q405" s="2" t="s">
        <v>1593</v>
      </c>
      <c r="R405" s="4" t="s">
        <v>30</v>
      </c>
      <c r="S405" s="5" t="n">
        <v>14784</v>
      </c>
      <c r="T405" s="2"/>
    </row>
    <row r="406" customFormat="false" ht="15" hidden="false" customHeight="false" outlineLevel="0" collapsed="false">
      <c r="A406" s="2" t="s">
        <v>1594</v>
      </c>
      <c r="B406" s="3" t="n">
        <v>46056</v>
      </c>
      <c r="C406" s="3" t="n">
        <v>46056</v>
      </c>
      <c r="D406" s="2" t="s">
        <v>21</v>
      </c>
      <c r="E406" s="4" t="s">
        <v>33</v>
      </c>
      <c r="F406" s="5" t="n">
        <v>100700</v>
      </c>
      <c r="G406" s="6" t="n">
        <f aca="false">G405+IF(E406="Credit",F406,IF(E406="Debit",-F406,0))</f>
        <v>9294065</v>
      </c>
      <c r="H406" s="4" t="s">
        <v>43</v>
      </c>
      <c r="I406" s="2" t="s">
        <v>44</v>
      </c>
      <c r="J406" s="2" t="s">
        <v>1595</v>
      </c>
      <c r="K406" s="4" t="s">
        <v>46</v>
      </c>
      <c r="L406" s="2" t="s">
        <v>47</v>
      </c>
      <c r="M406" s="4" t="s">
        <v>38</v>
      </c>
      <c r="N406" s="2" t="s">
        <v>1596</v>
      </c>
      <c r="O406" s="2" t="s">
        <v>49</v>
      </c>
      <c r="P406" s="2" t="s">
        <v>50</v>
      </c>
      <c r="Q406" s="2"/>
      <c r="R406" s="4" t="s">
        <v>30</v>
      </c>
      <c r="S406" s="5" t="n">
        <v>0</v>
      </c>
      <c r="T406" s="2"/>
    </row>
    <row r="407" customFormat="false" ht="15" hidden="false" customHeight="false" outlineLevel="0" collapsed="false">
      <c r="A407" s="2" t="s">
        <v>1597</v>
      </c>
      <c r="B407" s="3" t="n">
        <v>46058</v>
      </c>
      <c r="C407" s="3" t="n">
        <v>46058</v>
      </c>
      <c r="D407" s="2" t="s">
        <v>21</v>
      </c>
      <c r="E407" s="4" t="s">
        <v>33</v>
      </c>
      <c r="F407" s="5" t="n">
        <v>145000</v>
      </c>
      <c r="G407" s="6" t="n">
        <f aca="false">G406+IF(E407="Credit",F407,IF(E407="Debit",-F407,0))</f>
        <v>9149065</v>
      </c>
      <c r="H407" s="4" t="s">
        <v>64</v>
      </c>
      <c r="I407" s="2" t="s">
        <v>65</v>
      </c>
      <c r="J407" s="2" t="s">
        <v>1598</v>
      </c>
      <c r="K407" s="4" t="s">
        <v>67</v>
      </c>
      <c r="L407" s="2" t="s">
        <v>68</v>
      </c>
      <c r="M407" s="4" t="s">
        <v>69</v>
      </c>
      <c r="N407" s="2" t="s">
        <v>1599</v>
      </c>
      <c r="O407" s="2" t="s">
        <v>71</v>
      </c>
      <c r="P407" s="2" t="s">
        <v>72</v>
      </c>
      <c r="Q407" s="2"/>
      <c r="R407" s="4" t="s">
        <v>30</v>
      </c>
      <c r="S407" s="5" t="n">
        <v>0</v>
      </c>
      <c r="T407" s="2"/>
    </row>
    <row r="408" customFormat="false" ht="15" hidden="false" customHeight="false" outlineLevel="0" collapsed="false">
      <c r="A408" s="2" t="s">
        <v>1600</v>
      </c>
      <c r="B408" s="3" t="n">
        <v>46060</v>
      </c>
      <c r="C408" s="3" t="n">
        <v>46060</v>
      </c>
      <c r="D408" s="2" t="s">
        <v>21</v>
      </c>
      <c r="E408" s="4" t="s">
        <v>33</v>
      </c>
      <c r="F408" s="5" t="n">
        <v>12000</v>
      </c>
      <c r="G408" s="6" t="n">
        <f aca="false">G407+IF(E408="Credit",F408,IF(E408="Debit",-F408,0))</f>
        <v>9137065</v>
      </c>
      <c r="H408" s="4" t="s">
        <v>64</v>
      </c>
      <c r="I408" s="2" t="s">
        <v>83</v>
      </c>
      <c r="J408" s="2" t="s">
        <v>1601</v>
      </c>
      <c r="K408" s="4" t="s">
        <v>85</v>
      </c>
      <c r="L408" s="2" t="s">
        <v>86</v>
      </c>
      <c r="M408" s="4" t="s">
        <v>38</v>
      </c>
      <c r="N408" s="2" t="s">
        <v>1602</v>
      </c>
      <c r="O408" s="2" t="s">
        <v>88</v>
      </c>
      <c r="P408" s="2" t="s">
        <v>89</v>
      </c>
      <c r="Q408" s="2"/>
      <c r="R408" s="4" t="s">
        <v>30</v>
      </c>
      <c r="S408" s="5" t="n">
        <v>0</v>
      </c>
      <c r="T408" s="2"/>
    </row>
    <row r="409" customFormat="false" ht="15" hidden="false" customHeight="false" outlineLevel="0" collapsed="false">
      <c r="A409" s="2" t="s">
        <v>1603</v>
      </c>
      <c r="B409" s="3" t="n">
        <v>46060</v>
      </c>
      <c r="C409" s="3" t="n">
        <v>46060</v>
      </c>
      <c r="D409" s="2" t="s">
        <v>21</v>
      </c>
      <c r="E409" s="4" t="s">
        <v>33</v>
      </c>
      <c r="F409" s="5" t="n">
        <v>45900</v>
      </c>
      <c r="G409" s="6" t="n">
        <f aca="false">G408+IF(E409="Credit",F409,IF(E409="Debit",-F409,0))</f>
        <v>9091165</v>
      </c>
      <c r="H409" s="4" t="s">
        <v>34</v>
      </c>
      <c r="I409" s="2" t="s">
        <v>1429</v>
      </c>
      <c r="J409" s="2" t="s">
        <v>1429</v>
      </c>
      <c r="K409" s="4" t="s">
        <v>133</v>
      </c>
      <c r="L409" s="2" t="s">
        <v>134</v>
      </c>
      <c r="M409" s="4" t="s">
        <v>38</v>
      </c>
      <c r="N409" s="2" t="s">
        <v>1604</v>
      </c>
      <c r="O409" s="2" t="s">
        <v>136</v>
      </c>
      <c r="P409" s="2" t="s">
        <v>137</v>
      </c>
      <c r="Q409" s="2"/>
      <c r="R409" s="4" t="s">
        <v>30</v>
      </c>
      <c r="S409" s="5" t="n">
        <v>0</v>
      </c>
      <c r="T409" s="2"/>
    </row>
    <row r="410" customFormat="false" ht="15" hidden="false" customHeight="false" outlineLevel="0" collapsed="false">
      <c r="A410" s="2" t="s">
        <v>1605</v>
      </c>
      <c r="B410" s="3" t="n">
        <v>46061</v>
      </c>
      <c r="C410" s="3" t="n">
        <v>46061</v>
      </c>
      <c r="D410" s="2" t="s">
        <v>21</v>
      </c>
      <c r="E410" s="4" t="s">
        <v>52</v>
      </c>
      <c r="F410" s="5" t="n">
        <v>784000</v>
      </c>
      <c r="G410" s="6" t="n">
        <f aca="false">G409+IF(E410="Credit",F410,IF(E410="Debit",-F410,0))</f>
        <v>9875165</v>
      </c>
      <c r="H410" s="4" t="s">
        <v>180</v>
      </c>
      <c r="I410" s="2" t="s">
        <v>1606</v>
      </c>
      <c r="J410" s="2" t="s">
        <v>1607</v>
      </c>
      <c r="K410" s="4" t="s">
        <v>693</v>
      </c>
      <c r="L410" s="2" t="s">
        <v>694</v>
      </c>
      <c r="M410" s="4" t="s">
        <v>58</v>
      </c>
      <c r="N410" s="2" t="s">
        <v>1608</v>
      </c>
      <c r="O410" s="2" t="s">
        <v>60</v>
      </c>
      <c r="P410" s="2" t="s">
        <v>967</v>
      </c>
      <c r="Q410" s="2" t="s">
        <v>1609</v>
      </c>
      <c r="R410" s="4" t="s">
        <v>30</v>
      </c>
      <c r="S410" s="5" t="n">
        <v>84000</v>
      </c>
      <c r="T410" s="2" t="s">
        <v>413</v>
      </c>
    </row>
    <row r="411" customFormat="false" ht="15" hidden="false" customHeight="false" outlineLevel="0" collapsed="false">
      <c r="A411" s="2" t="s">
        <v>1610</v>
      </c>
      <c r="B411" s="3" t="n">
        <v>46061</v>
      </c>
      <c r="C411" s="3" t="n">
        <v>46061</v>
      </c>
      <c r="D411" s="2" t="s">
        <v>21</v>
      </c>
      <c r="E411" s="4" t="s">
        <v>52</v>
      </c>
      <c r="F411" s="5" t="n">
        <v>39200</v>
      </c>
      <c r="G411" s="6" t="n">
        <f aca="false">G410+IF(E411="Credit",F411,IF(E411="Debit",-F411,0))</f>
        <v>9914365</v>
      </c>
      <c r="H411" s="4" t="s">
        <v>685</v>
      </c>
      <c r="I411" s="2" t="s">
        <v>932</v>
      </c>
      <c r="J411" s="2" t="s">
        <v>1611</v>
      </c>
      <c r="K411" s="4" t="s">
        <v>474</v>
      </c>
      <c r="L411" s="2" t="s">
        <v>475</v>
      </c>
      <c r="M411" s="4" t="s">
        <v>58</v>
      </c>
      <c r="N411" s="2" t="s">
        <v>1612</v>
      </c>
      <c r="O411" s="2" t="s">
        <v>60</v>
      </c>
      <c r="P411" s="2" t="s">
        <v>354</v>
      </c>
      <c r="Q411" s="2" t="s">
        <v>1613</v>
      </c>
      <c r="R411" s="4" t="s">
        <v>30</v>
      </c>
      <c r="S411" s="5" t="n">
        <v>4200</v>
      </c>
      <c r="T411" s="2" t="s">
        <v>1614</v>
      </c>
    </row>
    <row r="412" customFormat="false" ht="15" hidden="false" customHeight="false" outlineLevel="0" collapsed="false">
      <c r="A412" s="2" t="s">
        <v>1615</v>
      </c>
      <c r="B412" s="3" t="n">
        <v>46061</v>
      </c>
      <c r="C412" s="3" t="n">
        <v>46061</v>
      </c>
      <c r="D412" s="2" t="s">
        <v>21</v>
      </c>
      <c r="E412" s="4" t="s">
        <v>33</v>
      </c>
      <c r="F412" s="5" t="n">
        <v>13440</v>
      </c>
      <c r="G412" s="6" t="n">
        <f aca="false">G411+IF(E412="Credit",F412,IF(E412="Debit",-F412,0))</f>
        <v>9900925</v>
      </c>
      <c r="H412" s="4" t="s">
        <v>99</v>
      </c>
      <c r="I412" s="2" t="s">
        <v>1616</v>
      </c>
      <c r="J412" s="2" t="s">
        <v>1617</v>
      </c>
      <c r="K412" s="4" t="s">
        <v>165</v>
      </c>
      <c r="L412" s="2" t="s">
        <v>166</v>
      </c>
      <c r="M412" s="4" t="s">
        <v>167</v>
      </c>
      <c r="N412" s="2" t="s">
        <v>1618</v>
      </c>
      <c r="O412" s="2" t="s">
        <v>160</v>
      </c>
      <c r="P412" s="2" t="s">
        <v>1619</v>
      </c>
      <c r="Q412" s="2" t="s">
        <v>1620</v>
      </c>
      <c r="R412" s="4" t="s">
        <v>30</v>
      </c>
      <c r="S412" s="5" t="n">
        <v>1440</v>
      </c>
      <c r="T412" s="2"/>
    </row>
    <row r="413" customFormat="false" ht="15" hidden="false" customHeight="false" outlineLevel="0" collapsed="false">
      <c r="A413" s="2" t="s">
        <v>1621</v>
      </c>
      <c r="B413" s="3" t="n">
        <v>46062</v>
      </c>
      <c r="C413" s="3" t="n">
        <v>46062</v>
      </c>
      <c r="D413" s="2" t="s">
        <v>21</v>
      </c>
      <c r="E413" s="4" t="s">
        <v>52</v>
      </c>
      <c r="F413" s="5" t="n">
        <v>744800</v>
      </c>
      <c r="G413" s="6" t="n">
        <f aca="false">G412+IF(E413="Credit",F413,IF(E413="Debit",-F413,0))</f>
        <v>10645725</v>
      </c>
      <c r="H413" s="4" t="s">
        <v>99</v>
      </c>
      <c r="I413" s="2" t="s">
        <v>1622</v>
      </c>
      <c r="J413" s="2" t="s">
        <v>1623</v>
      </c>
      <c r="K413" s="4" t="s">
        <v>1038</v>
      </c>
      <c r="L413" s="2" t="s">
        <v>1039</v>
      </c>
      <c r="M413" s="4" t="s">
        <v>58</v>
      </c>
      <c r="N413" s="2" t="s">
        <v>1624</v>
      </c>
      <c r="O413" s="2" t="s">
        <v>60</v>
      </c>
      <c r="P413" s="2" t="s">
        <v>967</v>
      </c>
      <c r="Q413" s="2" t="s">
        <v>1625</v>
      </c>
      <c r="R413" s="4" t="s">
        <v>30</v>
      </c>
      <c r="S413" s="5" t="n">
        <v>79800</v>
      </c>
      <c r="T413" s="2"/>
    </row>
    <row r="414" customFormat="false" ht="15" hidden="false" customHeight="false" outlineLevel="0" collapsed="false">
      <c r="A414" s="2" t="s">
        <v>1626</v>
      </c>
      <c r="B414" s="3" t="n">
        <v>46062</v>
      </c>
      <c r="C414" s="3" t="n">
        <v>46062</v>
      </c>
      <c r="D414" s="2" t="s">
        <v>21</v>
      </c>
      <c r="E414" s="4" t="s">
        <v>52</v>
      </c>
      <c r="F414" s="5" t="n">
        <v>40061</v>
      </c>
      <c r="G414" s="6" t="n">
        <f aca="false">G413+IF(E414="Credit",F414,IF(E414="Debit",-F414,0))</f>
        <v>10685786</v>
      </c>
      <c r="H414" s="4" t="s">
        <v>99</v>
      </c>
      <c r="I414" s="2" t="s">
        <v>785</v>
      </c>
      <c r="J414" s="2" t="s">
        <v>1627</v>
      </c>
      <c r="K414" s="4" t="s">
        <v>693</v>
      </c>
      <c r="L414" s="2" t="s">
        <v>694</v>
      </c>
      <c r="M414" s="4" t="s">
        <v>58</v>
      </c>
      <c r="N414" s="2" t="s">
        <v>1628</v>
      </c>
      <c r="O414" s="2" t="s">
        <v>60</v>
      </c>
      <c r="P414" s="2" t="s">
        <v>477</v>
      </c>
      <c r="Q414" s="2" t="s">
        <v>1629</v>
      </c>
      <c r="R414" s="4" t="s">
        <v>30</v>
      </c>
      <c r="S414" s="5" t="n">
        <v>6111</v>
      </c>
      <c r="T414" s="2" t="s">
        <v>1630</v>
      </c>
    </row>
    <row r="415" customFormat="false" ht="15" hidden="false" customHeight="false" outlineLevel="0" collapsed="false">
      <c r="A415" s="2" t="s">
        <v>1631</v>
      </c>
      <c r="B415" s="3" t="n">
        <v>46063</v>
      </c>
      <c r="C415" s="3" t="n">
        <v>46063</v>
      </c>
      <c r="D415" s="2" t="s">
        <v>21</v>
      </c>
      <c r="E415" s="4" t="s">
        <v>52</v>
      </c>
      <c r="F415" s="5" t="n">
        <v>377600</v>
      </c>
      <c r="G415" s="6" t="n">
        <f aca="false">G414+IF(E415="Credit",F415,IF(E415="Debit",-F415,0))</f>
        <v>11063386</v>
      </c>
      <c r="H415" s="4" t="s">
        <v>74</v>
      </c>
      <c r="I415" s="2" t="s">
        <v>1632</v>
      </c>
      <c r="J415" s="2" t="s">
        <v>1633</v>
      </c>
      <c r="K415" s="4" t="s">
        <v>454</v>
      </c>
      <c r="L415" s="2" t="s">
        <v>455</v>
      </c>
      <c r="M415" s="4" t="s">
        <v>58</v>
      </c>
      <c r="N415" s="2" t="s">
        <v>1634</v>
      </c>
      <c r="O415" s="2" t="s">
        <v>60</v>
      </c>
      <c r="P415" s="2" t="s">
        <v>354</v>
      </c>
      <c r="Q415" s="2" t="s">
        <v>1635</v>
      </c>
      <c r="R415" s="4" t="s">
        <v>30</v>
      </c>
      <c r="S415" s="5" t="n">
        <v>57600</v>
      </c>
      <c r="T415" s="2"/>
    </row>
    <row r="416" customFormat="false" ht="15" hidden="false" customHeight="false" outlineLevel="0" collapsed="false">
      <c r="A416" s="2" t="s">
        <v>1636</v>
      </c>
      <c r="B416" s="3" t="n">
        <v>46063</v>
      </c>
      <c r="C416" s="3" t="n">
        <v>46063</v>
      </c>
      <c r="D416" s="2" t="s">
        <v>21</v>
      </c>
      <c r="E416" s="4" t="s">
        <v>33</v>
      </c>
      <c r="F416" s="5" t="n">
        <v>72500</v>
      </c>
      <c r="G416" s="6" t="n">
        <f aca="false">G415+IF(E416="Credit",F416,IF(E416="Debit",-F416,0))</f>
        <v>10990886</v>
      </c>
      <c r="H416" s="4" t="s">
        <v>115</v>
      </c>
      <c r="I416" s="2" t="s">
        <v>116</v>
      </c>
      <c r="J416" s="2" t="s">
        <v>1637</v>
      </c>
      <c r="K416" s="4" t="s">
        <v>118</v>
      </c>
      <c r="L416" s="2" t="s">
        <v>119</v>
      </c>
      <c r="M416" s="4" t="s">
        <v>38</v>
      </c>
      <c r="N416" s="2" t="s">
        <v>1638</v>
      </c>
      <c r="O416" s="2" t="s">
        <v>121</v>
      </c>
      <c r="P416" s="2" t="s">
        <v>122</v>
      </c>
      <c r="Q416" s="2"/>
      <c r="R416" s="4" t="s">
        <v>30</v>
      </c>
      <c r="S416" s="5" t="n">
        <v>0</v>
      </c>
      <c r="T416" s="2"/>
    </row>
    <row r="417" customFormat="false" ht="15" hidden="false" customHeight="false" outlineLevel="0" collapsed="false">
      <c r="A417" s="2" t="s">
        <v>1639</v>
      </c>
      <c r="B417" s="3" t="n">
        <v>46066</v>
      </c>
      <c r="C417" s="3" t="n">
        <v>46066</v>
      </c>
      <c r="D417" s="2" t="s">
        <v>21</v>
      </c>
      <c r="E417" s="4" t="s">
        <v>52</v>
      </c>
      <c r="F417" s="5" t="n">
        <v>271600</v>
      </c>
      <c r="G417" s="6" t="n">
        <f aca="false">G416+IF(E417="Credit",F417,IF(E417="Debit",-F417,0))</f>
        <v>11262486</v>
      </c>
      <c r="H417" s="4" t="s">
        <v>74</v>
      </c>
      <c r="I417" s="2" t="s">
        <v>400</v>
      </c>
      <c r="J417" s="2" t="s">
        <v>1640</v>
      </c>
      <c r="K417" s="4" t="s">
        <v>402</v>
      </c>
      <c r="L417" s="2" t="s">
        <v>403</v>
      </c>
      <c r="M417" s="4" t="s">
        <v>58</v>
      </c>
      <c r="N417" s="2" t="s">
        <v>1641</v>
      </c>
      <c r="O417" s="2" t="s">
        <v>60</v>
      </c>
      <c r="P417" s="2" t="s">
        <v>897</v>
      </c>
      <c r="Q417" s="2" t="s">
        <v>1642</v>
      </c>
      <c r="R417" s="4" t="s">
        <v>30</v>
      </c>
      <c r="S417" s="5" t="n">
        <v>29100</v>
      </c>
      <c r="T417" s="2"/>
    </row>
    <row r="418" customFormat="false" ht="15" hidden="false" customHeight="false" outlineLevel="0" collapsed="false">
      <c r="A418" s="2" t="s">
        <v>1643</v>
      </c>
      <c r="B418" s="3" t="n">
        <v>46066</v>
      </c>
      <c r="C418" s="3" t="n">
        <v>46066</v>
      </c>
      <c r="D418" s="2" t="s">
        <v>21</v>
      </c>
      <c r="E418" s="4" t="s">
        <v>52</v>
      </c>
      <c r="F418" s="5" t="n">
        <v>265540</v>
      </c>
      <c r="G418" s="6" t="n">
        <f aca="false">G417+IF(E418="Credit",F418,IF(E418="Debit",-F418,0))</f>
        <v>11528026</v>
      </c>
      <c r="H418" s="4" t="s">
        <v>74</v>
      </c>
      <c r="I418" s="2" t="s">
        <v>487</v>
      </c>
      <c r="J418" s="2" t="s">
        <v>1644</v>
      </c>
      <c r="K418" s="4" t="s">
        <v>474</v>
      </c>
      <c r="L418" s="2" t="s">
        <v>475</v>
      </c>
      <c r="M418" s="4" t="s">
        <v>58</v>
      </c>
      <c r="N418" s="2" t="s">
        <v>1645</v>
      </c>
      <c r="O418" s="2" t="s">
        <v>60</v>
      </c>
      <c r="P418" s="2" t="s">
        <v>366</v>
      </c>
      <c r="Q418" s="2" t="s">
        <v>1646</v>
      </c>
      <c r="R418" s="4" t="s">
        <v>30</v>
      </c>
      <c r="S418" s="5" t="n">
        <v>30740</v>
      </c>
      <c r="T418" s="2" t="s">
        <v>1647</v>
      </c>
    </row>
    <row r="419" customFormat="false" ht="15" hidden="false" customHeight="false" outlineLevel="0" collapsed="false">
      <c r="A419" s="2" t="s">
        <v>1648</v>
      </c>
      <c r="B419" s="3" t="n">
        <v>46066</v>
      </c>
      <c r="C419" s="3" t="n">
        <v>46066</v>
      </c>
      <c r="D419" s="2" t="s">
        <v>21</v>
      </c>
      <c r="E419" s="4" t="s">
        <v>33</v>
      </c>
      <c r="F419" s="5" t="n">
        <v>43800</v>
      </c>
      <c r="G419" s="6" t="n">
        <f aca="false">G418+IF(E419="Credit",F419,IF(E419="Debit",-F419,0))</f>
        <v>11484226</v>
      </c>
      <c r="H419" s="4" t="s">
        <v>99</v>
      </c>
      <c r="I419" s="2" t="s">
        <v>1493</v>
      </c>
      <c r="J419" s="2" t="s">
        <v>1493</v>
      </c>
      <c r="K419" s="4" t="s">
        <v>133</v>
      </c>
      <c r="L419" s="2" t="s">
        <v>134</v>
      </c>
      <c r="M419" s="4" t="s">
        <v>38</v>
      </c>
      <c r="N419" s="2" t="s">
        <v>1649</v>
      </c>
      <c r="O419" s="2" t="s">
        <v>136</v>
      </c>
      <c r="P419" s="2" t="s">
        <v>137</v>
      </c>
      <c r="Q419" s="2"/>
      <c r="R419" s="4" t="s">
        <v>30</v>
      </c>
      <c r="S419" s="5" t="n">
        <v>0</v>
      </c>
      <c r="T419" s="2"/>
    </row>
    <row r="420" customFormat="false" ht="15" hidden="false" customHeight="false" outlineLevel="0" collapsed="false">
      <c r="A420" s="2" t="s">
        <v>1650</v>
      </c>
      <c r="B420" s="3" t="n">
        <v>46067</v>
      </c>
      <c r="C420" s="3" t="n">
        <v>46067</v>
      </c>
      <c r="D420" s="2" t="s">
        <v>21</v>
      </c>
      <c r="E420" s="4" t="s">
        <v>52</v>
      </c>
      <c r="F420" s="5" t="n">
        <v>145376</v>
      </c>
      <c r="G420" s="6" t="n">
        <f aca="false">G419+IF(E420="Credit",F420,IF(E420="Debit",-F420,0))</f>
        <v>11629602</v>
      </c>
      <c r="H420" s="4" t="s">
        <v>180</v>
      </c>
      <c r="I420" s="2" t="s">
        <v>1651</v>
      </c>
      <c r="J420" s="2" t="s">
        <v>1652</v>
      </c>
      <c r="K420" s="4" t="s">
        <v>56</v>
      </c>
      <c r="L420" s="2" t="s">
        <v>57</v>
      </c>
      <c r="M420" s="4" t="s">
        <v>58</v>
      </c>
      <c r="N420" s="2" t="s">
        <v>1653</v>
      </c>
      <c r="O420" s="2" t="s">
        <v>60</v>
      </c>
      <c r="P420" s="2" t="s">
        <v>536</v>
      </c>
      <c r="Q420" s="2" t="s">
        <v>1654</v>
      </c>
      <c r="R420" s="4" t="s">
        <v>30</v>
      </c>
      <c r="S420" s="5" t="n">
        <v>15576</v>
      </c>
      <c r="T420" s="2"/>
    </row>
    <row r="421" customFormat="false" ht="15" hidden="false" customHeight="false" outlineLevel="0" collapsed="false">
      <c r="A421" s="2" t="s">
        <v>1655</v>
      </c>
      <c r="B421" s="3" t="n">
        <v>46067</v>
      </c>
      <c r="C421" s="3" t="n">
        <v>46067</v>
      </c>
      <c r="D421" s="2" t="s">
        <v>21</v>
      </c>
      <c r="E421" s="4" t="s">
        <v>33</v>
      </c>
      <c r="F421" s="5" t="n">
        <v>30600</v>
      </c>
      <c r="G421" s="6" t="n">
        <f aca="false">G420+IF(E421="Credit",F421,IF(E421="Debit",-F421,0))</f>
        <v>11599002</v>
      </c>
      <c r="H421" s="4" t="s">
        <v>99</v>
      </c>
      <c r="I421" s="2" t="s">
        <v>139</v>
      </c>
      <c r="J421" s="2" t="s">
        <v>1656</v>
      </c>
      <c r="K421" s="4" t="s">
        <v>141</v>
      </c>
      <c r="L421" s="2" t="s">
        <v>142</v>
      </c>
      <c r="M421" s="4" t="s">
        <v>143</v>
      </c>
      <c r="N421" s="2" t="s">
        <v>1657</v>
      </c>
      <c r="O421" s="2" t="s">
        <v>145</v>
      </c>
      <c r="P421" s="2" t="s">
        <v>146</v>
      </c>
      <c r="Q421" s="2"/>
      <c r="R421" s="4" t="s">
        <v>30</v>
      </c>
      <c r="S421" s="5" t="n">
        <v>0</v>
      </c>
      <c r="T421" s="2"/>
    </row>
    <row r="422" customFormat="false" ht="15" hidden="false" customHeight="false" outlineLevel="0" collapsed="false">
      <c r="A422" s="2" t="s">
        <v>1658</v>
      </c>
      <c r="B422" s="3" t="n">
        <v>46068</v>
      </c>
      <c r="C422" s="3" t="n">
        <v>46068</v>
      </c>
      <c r="D422" s="2" t="s">
        <v>21</v>
      </c>
      <c r="E422" s="4" t="s">
        <v>52</v>
      </c>
      <c r="F422" s="5" t="n">
        <v>413000</v>
      </c>
      <c r="G422" s="6" t="n">
        <f aca="false">G421+IF(E422="Credit",F422,IF(E422="Debit",-F422,0))</f>
        <v>12012002</v>
      </c>
      <c r="H422" s="4" t="s">
        <v>99</v>
      </c>
      <c r="I422" s="2" t="s">
        <v>361</v>
      </c>
      <c r="J422" s="2" t="s">
        <v>1659</v>
      </c>
      <c r="K422" s="4" t="s">
        <v>363</v>
      </c>
      <c r="L422" s="2" t="s">
        <v>364</v>
      </c>
      <c r="M422" s="4" t="s">
        <v>58</v>
      </c>
      <c r="N422" s="2" t="s">
        <v>1660</v>
      </c>
      <c r="O422" s="2" t="s">
        <v>60</v>
      </c>
      <c r="P422" s="2" t="s">
        <v>897</v>
      </c>
      <c r="Q422" s="2" t="s">
        <v>1661</v>
      </c>
      <c r="R422" s="4" t="s">
        <v>30</v>
      </c>
      <c r="S422" s="5" t="n">
        <v>63000</v>
      </c>
      <c r="T422" s="2" t="s">
        <v>1662</v>
      </c>
    </row>
    <row r="423" customFormat="false" ht="15" hidden="false" customHeight="false" outlineLevel="0" collapsed="false">
      <c r="A423" s="2" t="s">
        <v>1663</v>
      </c>
      <c r="B423" s="3" t="n">
        <v>46068</v>
      </c>
      <c r="C423" s="3" t="n">
        <v>46068</v>
      </c>
      <c r="D423" s="2" t="s">
        <v>21</v>
      </c>
      <c r="E423" s="4" t="s">
        <v>33</v>
      </c>
      <c r="F423" s="5" t="n">
        <v>30550</v>
      </c>
      <c r="G423" s="6" t="n">
        <f aca="false">G422+IF(E423="Credit",F423,IF(E423="Debit",-F423,0))</f>
        <v>11981452</v>
      </c>
      <c r="H423" s="4" t="s">
        <v>64</v>
      </c>
      <c r="I423" s="2" t="s">
        <v>148</v>
      </c>
      <c r="J423" s="2" t="s">
        <v>1664</v>
      </c>
      <c r="K423" s="4" t="s">
        <v>150</v>
      </c>
      <c r="L423" s="2" t="s">
        <v>151</v>
      </c>
      <c r="M423" s="4" t="s">
        <v>38</v>
      </c>
      <c r="N423" s="2" t="s">
        <v>1665</v>
      </c>
      <c r="O423" s="2" t="s">
        <v>88</v>
      </c>
      <c r="P423" s="2" t="s">
        <v>153</v>
      </c>
      <c r="Q423" s="2"/>
      <c r="R423" s="4" t="s">
        <v>30</v>
      </c>
      <c r="S423" s="5" t="n">
        <v>0</v>
      </c>
      <c r="T423" s="2"/>
    </row>
    <row r="424" customFormat="false" ht="15" hidden="false" customHeight="false" outlineLevel="0" collapsed="false">
      <c r="A424" s="2" t="s">
        <v>1666</v>
      </c>
      <c r="B424" s="3" t="n">
        <v>46069</v>
      </c>
      <c r="C424" s="3" t="n">
        <v>46069</v>
      </c>
      <c r="D424" s="2" t="s">
        <v>21</v>
      </c>
      <c r="E424" s="4" t="s">
        <v>33</v>
      </c>
      <c r="F424" s="5" t="n">
        <v>26500</v>
      </c>
      <c r="G424" s="6" t="n">
        <f aca="false">G423+IF(E424="Credit",F424,IF(E424="Debit",-F424,0))</f>
        <v>11954952</v>
      </c>
      <c r="H424" s="4" t="s">
        <v>99</v>
      </c>
      <c r="I424" s="2" t="s">
        <v>100</v>
      </c>
      <c r="J424" s="2" t="s">
        <v>101</v>
      </c>
      <c r="K424" s="4" t="s">
        <v>102</v>
      </c>
      <c r="L424" s="2" t="s">
        <v>103</v>
      </c>
      <c r="M424" s="4" t="s">
        <v>38</v>
      </c>
      <c r="N424" s="2" t="s">
        <v>1667</v>
      </c>
      <c r="O424" s="2" t="s">
        <v>105</v>
      </c>
      <c r="P424" s="2" t="s">
        <v>106</v>
      </c>
      <c r="Q424" s="2"/>
      <c r="R424" s="4" t="s">
        <v>30</v>
      </c>
      <c r="S424" s="5" t="n">
        <v>0</v>
      </c>
      <c r="T424" s="2"/>
    </row>
    <row r="425" customFormat="false" ht="15" hidden="false" customHeight="false" outlineLevel="0" collapsed="false">
      <c r="A425" s="2" t="s">
        <v>1668</v>
      </c>
      <c r="B425" s="3" t="n">
        <v>46072</v>
      </c>
      <c r="C425" s="3" t="n">
        <v>46073</v>
      </c>
      <c r="D425" s="2" t="s">
        <v>21</v>
      </c>
      <c r="E425" s="4" t="s">
        <v>52</v>
      </c>
      <c r="F425" s="5" t="n">
        <v>164864</v>
      </c>
      <c r="G425" s="6" t="n">
        <f aca="false">G424+IF(E425="Credit",F425,IF(E425="Debit",-F425,0))</f>
        <v>12119816</v>
      </c>
      <c r="H425" s="4" t="s">
        <v>348</v>
      </c>
      <c r="I425" s="2" t="s">
        <v>1669</v>
      </c>
      <c r="J425" s="2" t="s">
        <v>1670</v>
      </c>
      <c r="K425" s="4" t="s">
        <v>533</v>
      </c>
      <c r="L425" s="2" t="s">
        <v>534</v>
      </c>
      <c r="M425" s="4" t="s">
        <v>58</v>
      </c>
      <c r="N425" s="2" t="s">
        <v>1671</v>
      </c>
      <c r="O425" s="2" t="s">
        <v>60</v>
      </c>
      <c r="P425" s="2" t="s">
        <v>195</v>
      </c>
      <c r="Q425" s="2" t="s">
        <v>1672</v>
      </c>
      <c r="R425" s="4" t="s">
        <v>30</v>
      </c>
      <c r="S425" s="5" t="n">
        <v>17664</v>
      </c>
      <c r="T425" s="2" t="s">
        <v>413</v>
      </c>
    </row>
    <row r="426" customFormat="false" ht="15" hidden="false" customHeight="false" outlineLevel="0" collapsed="false">
      <c r="A426" s="2" t="s">
        <v>1673</v>
      </c>
      <c r="B426" s="3" t="n">
        <v>46073</v>
      </c>
      <c r="C426" s="3" t="n">
        <v>46073</v>
      </c>
      <c r="D426" s="2" t="s">
        <v>21</v>
      </c>
      <c r="E426" s="4" t="s">
        <v>33</v>
      </c>
      <c r="F426" s="5" t="n">
        <v>160300</v>
      </c>
      <c r="G426" s="6" t="n">
        <f aca="false">G425+IF(E426="Credit",F426,IF(E426="Debit",-F426,0))</f>
        <v>11959516</v>
      </c>
      <c r="H426" s="4" t="s">
        <v>99</v>
      </c>
      <c r="I426" s="2" t="s">
        <v>172</v>
      </c>
      <c r="J426" s="2" t="s">
        <v>1674</v>
      </c>
      <c r="K426" s="4" t="s">
        <v>174</v>
      </c>
      <c r="L426" s="2" t="s">
        <v>175</v>
      </c>
      <c r="M426" s="4" t="s">
        <v>143</v>
      </c>
      <c r="N426" s="2" t="s">
        <v>1675</v>
      </c>
      <c r="O426" s="2" t="s">
        <v>177</v>
      </c>
      <c r="P426" s="2" t="s">
        <v>178</v>
      </c>
      <c r="Q426" s="2"/>
      <c r="R426" s="4" t="s">
        <v>30</v>
      </c>
      <c r="S426" s="5" t="n">
        <v>0</v>
      </c>
      <c r="T426" s="2"/>
    </row>
    <row r="427" customFormat="false" ht="15" hidden="false" customHeight="false" outlineLevel="0" collapsed="false">
      <c r="A427" s="2" t="s">
        <v>1676</v>
      </c>
      <c r="B427" s="3" t="n">
        <v>46074</v>
      </c>
      <c r="C427" s="3" t="n">
        <v>46074</v>
      </c>
      <c r="D427" s="2" t="s">
        <v>21</v>
      </c>
      <c r="E427" s="4" t="s">
        <v>33</v>
      </c>
      <c r="F427" s="5" t="n">
        <v>240</v>
      </c>
      <c r="G427" s="6" t="n">
        <f aca="false">G426+IF(E427="Credit",F427,IF(E427="Debit",-F427,0))</f>
        <v>11959276</v>
      </c>
      <c r="H427" s="4" t="s">
        <v>53</v>
      </c>
      <c r="I427" s="2" t="s">
        <v>214</v>
      </c>
      <c r="J427" s="2" t="s">
        <v>1677</v>
      </c>
      <c r="K427" s="4" t="s">
        <v>67</v>
      </c>
      <c r="L427" s="2" t="s">
        <v>68</v>
      </c>
      <c r="M427" s="4" t="s">
        <v>69</v>
      </c>
      <c r="N427" s="2" t="s">
        <v>1678</v>
      </c>
      <c r="O427" s="2" t="s">
        <v>96</v>
      </c>
      <c r="P427" s="2" t="s">
        <v>217</v>
      </c>
      <c r="Q427" s="2"/>
      <c r="R427" s="4" t="s">
        <v>30</v>
      </c>
      <c r="S427" s="5" t="n">
        <v>0</v>
      </c>
      <c r="T427" s="2"/>
    </row>
    <row r="428" customFormat="false" ht="15" hidden="false" customHeight="false" outlineLevel="0" collapsed="false">
      <c r="A428" s="2" t="s">
        <v>1679</v>
      </c>
      <c r="B428" s="3" t="n">
        <v>46077</v>
      </c>
      <c r="C428" s="3" t="n">
        <v>46077</v>
      </c>
      <c r="D428" s="2" t="s">
        <v>21</v>
      </c>
      <c r="E428" s="4" t="s">
        <v>52</v>
      </c>
      <c r="F428" s="5" t="n">
        <v>39200</v>
      </c>
      <c r="G428" s="6" t="n">
        <f aca="false">G427+IF(E428="Credit",F428,IF(E428="Debit",-F428,0))</f>
        <v>11998476</v>
      </c>
      <c r="H428" s="4" t="s">
        <v>99</v>
      </c>
      <c r="I428" s="2" t="s">
        <v>472</v>
      </c>
      <c r="J428" s="2" t="s">
        <v>1680</v>
      </c>
      <c r="K428" s="4" t="s">
        <v>474</v>
      </c>
      <c r="L428" s="2" t="s">
        <v>475</v>
      </c>
      <c r="M428" s="4" t="s">
        <v>58</v>
      </c>
      <c r="N428" s="2" t="s">
        <v>1681</v>
      </c>
      <c r="O428" s="2" t="s">
        <v>60</v>
      </c>
      <c r="P428" s="2" t="s">
        <v>354</v>
      </c>
      <c r="Q428" s="2" t="s">
        <v>1613</v>
      </c>
      <c r="R428" s="4" t="s">
        <v>30</v>
      </c>
      <c r="S428" s="5" t="n">
        <v>4200</v>
      </c>
      <c r="T428" s="2" t="s">
        <v>1682</v>
      </c>
    </row>
    <row r="429" customFormat="false" ht="15" hidden="false" customHeight="false" outlineLevel="0" collapsed="false">
      <c r="A429" s="2" t="s">
        <v>1683</v>
      </c>
      <c r="B429" s="3" t="n">
        <v>46077</v>
      </c>
      <c r="C429" s="3" t="n">
        <v>46079</v>
      </c>
      <c r="D429" s="2" t="s">
        <v>21</v>
      </c>
      <c r="E429" s="4" t="s">
        <v>52</v>
      </c>
      <c r="F429" s="5" t="n">
        <v>413000</v>
      </c>
      <c r="G429" s="6" t="n">
        <f aca="false">G428+IF(E429="Credit",F429,IF(E429="Debit",-F429,0))</f>
        <v>12411476</v>
      </c>
      <c r="H429" s="4" t="s">
        <v>348</v>
      </c>
      <c r="I429" s="2" t="s">
        <v>1684</v>
      </c>
      <c r="J429" s="2" t="s">
        <v>1685</v>
      </c>
      <c r="K429" s="4" t="s">
        <v>363</v>
      </c>
      <c r="L429" s="2" t="s">
        <v>364</v>
      </c>
      <c r="M429" s="4" t="s">
        <v>58</v>
      </c>
      <c r="N429" s="2" t="s">
        <v>1686</v>
      </c>
      <c r="O429" s="2" t="s">
        <v>60</v>
      </c>
      <c r="P429" s="2" t="s">
        <v>897</v>
      </c>
      <c r="Q429" s="2" t="s">
        <v>1661</v>
      </c>
      <c r="R429" s="4" t="s">
        <v>30</v>
      </c>
      <c r="S429" s="5" t="n">
        <v>63000</v>
      </c>
      <c r="T429" s="2" t="s">
        <v>1687</v>
      </c>
    </row>
    <row r="430" customFormat="false" ht="15" hidden="false" customHeight="false" outlineLevel="0" collapsed="false">
      <c r="A430" s="2" t="s">
        <v>1688</v>
      </c>
      <c r="B430" s="3" t="n">
        <v>46081</v>
      </c>
      <c r="C430" s="3" t="n">
        <v>46081</v>
      </c>
      <c r="D430" s="2" t="s">
        <v>21</v>
      </c>
      <c r="E430" s="4" t="s">
        <v>52</v>
      </c>
      <c r="F430" s="5" t="n">
        <v>39333</v>
      </c>
      <c r="G430" s="6" t="n">
        <f aca="false">G429+IF(E430="Credit",F430,IF(E430="Debit",-F430,0))</f>
        <v>12450809</v>
      </c>
      <c r="H430" s="4" t="s">
        <v>99</v>
      </c>
      <c r="I430" s="2" t="s">
        <v>815</v>
      </c>
      <c r="J430" s="2" t="s">
        <v>1689</v>
      </c>
      <c r="K430" s="4" t="s">
        <v>764</v>
      </c>
      <c r="L430" s="2" t="s">
        <v>765</v>
      </c>
      <c r="M430" s="4" t="s">
        <v>58</v>
      </c>
      <c r="N430" s="2" t="s">
        <v>1690</v>
      </c>
      <c r="O430" s="2" t="s">
        <v>60</v>
      </c>
      <c r="P430" s="2" t="s">
        <v>935</v>
      </c>
      <c r="Q430" s="2" t="s">
        <v>1691</v>
      </c>
      <c r="R430" s="4" t="s">
        <v>30</v>
      </c>
      <c r="S430" s="5" t="n">
        <v>6000</v>
      </c>
      <c r="T430" s="2" t="s">
        <v>1692</v>
      </c>
    </row>
    <row r="431" customFormat="false" ht="15" hidden="false" customHeight="false" outlineLevel="0" collapsed="false">
      <c r="A431" s="2" t="s">
        <v>1693</v>
      </c>
      <c r="B431" s="3" t="n">
        <v>46081</v>
      </c>
      <c r="C431" s="3" t="n">
        <v>46081</v>
      </c>
      <c r="D431" s="2" t="s">
        <v>21</v>
      </c>
      <c r="E431" s="4" t="s">
        <v>33</v>
      </c>
      <c r="F431" s="5" t="n">
        <v>72500</v>
      </c>
      <c r="G431" s="6" t="n">
        <f aca="false">G430+IF(E431="Credit",F431,IF(E431="Debit",-F431,0))</f>
        <v>12378309</v>
      </c>
      <c r="H431" s="4" t="s">
        <v>53</v>
      </c>
      <c r="I431" s="2" t="s">
        <v>219</v>
      </c>
      <c r="J431" s="2" t="s">
        <v>1694</v>
      </c>
      <c r="K431" s="4" t="s">
        <v>221</v>
      </c>
      <c r="L431" s="2" t="s">
        <v>222</v>
      </c>
      <c r="M431" s="4" t="s">
        <v>223</v>
      </c>
      <c r="N431" s="2" t="s">
        <v>1695</v>
      </c>
      <c r="O431" s="2" t="s">
        <v>225</v>
      </c>
      <c r="P431" s="2" t="s">
        <v>226</v>
      </c>
      <c r="Q431" s="2"/>
      <c r="R431" s="4" t="s">
        <v>30</v>
      </c>
      <c r="S431" s="5" t="n">
        <v>0</v>
      </c>
      <c r="T431" s="2"/>
    </row>
    <row r="432" customFormat="false" ht="15" hidden="false" customHeight="false" outlineLevel="0" collapsed="false">
      <c r="A432" s="2" t="s">
        <v>1696</v>
      </c>
      <c r="B432" s="3" t="n">
        <v>46081</v>
      </c>
      <c r="C432" s="3" t="n">
        <v>46081</v>
      </c>
      <c r="D432" s="2" t="s">
        <v>21</v>
      </c>
      <c r="E432" s="4" t="s">
        <v>33</v>
      </c>
      <c r="F432" s="5" t="n">
        <v>100800</v>
      </c>
      <c r="G432" s="6" t="n">
        <f aca="false">G431+IF(E432="Credit",F432,IF(E432="Debit",-F432,0))</f>
        <v>12277509</v>
      </c>
      <c r="H432" s="4" t="s">
        <v>53</v>
      </c>
      <c r="I432" s="2" t="s">
        <v>228</v>
      </c>
      <c r="J432" s="2" t="s">
        <v>1694</v>
      </c>
      <c r="K432" s="4" t="s">
        <v>229</v>
      </c>
      <c r="L432" s="2" t="s">
        <v>230</v>
      </c>
      <c r="M432" s="4" t="s">
        <v>223</v>
      </c>
      <c r="N432" s="2" t="s">
        <v>1697</v>
      </c>
      <c r="O432" s="2" t="s">
        <v>225</v>
      </c>
      <c r="P432" s="2" t="s">
        <v>226</v>
      </c>
      <c r="Q432" s="2"/>
      <c r="R432" s="4" t="s">
        <v>30</v>
      </c>
      <c r="S432" s="5" t="n">
        <v>0</v>
      </c>
      <c r="T432" s="2"/>
    </row>
    <row r="433" customFormat="false" ht="15" hidden="false" customHeight="false" outlineLevel="0" collapsed="false">
      <c r="A433" s="2" t="s">
        <v>1698</v>
      </c>
      <c r="B433" s="3" t="n">
        <v>46081</v>
      </c>
      <c r="C433" s="3" t="n">
        <v>46081</v>
      </c>
      <c r="D433" s="2" t="s">
        <v>21</v>
      </c>
      <c r="E433" s="4" t="s">
        <v>33</v>
      </c>
      <c r="F433" s="5" t="n">
        <v>126300</v>
      </c>
      <c r="G433" s="6" t="n">
        <f aca="false">G432+IF(E433="Credit",F433,IF(E433="Debit",-F433,0))</f>
        <v>12151209</v>
      </c>
      <c r="H433" s="4" t="s">
        <v>53</v>
      </c>
      <c r="I433" s="2" t="s">
        <v>233</v>
      </c>
      <c r="J433" s="2" t="s">
        <v>1694</v>
      </c>
      <c r="K433" s="4" t="s">
        <v>234</v>
      </c>
      <c r="L433" s="2" t="s">
        <v>235</v>
      </c>
      <c r="M433" s="4" t="s">
        <v>223</v>
      </c>
      <c r="N433" s="2" t="s">
        <v>1699</v>
      </c>
      <c r="O433" s="2" t="s">
        <v>225</v>
      </c>
      <c r="P433" s="2" t="s">
        <v>237</v>
      </c>
      <c r="Q433" s="2"/>
      <c r="R433" s="4" t="s">
        <v>30</v>
      </c>
      <c r="S433" s="5" t="n">
        <v>0</v>
      </c>
      <c r="T433" s="2"/>
    </row>
    <row r="434" customFormat="false" ht="15" hidden="false" customHeight="false" outlineLevel="0" collapsed="false">
      <c r="A434" s="2" t="s">
        <v>1700</v>
      </c>
      <c r="B434" s="3" t="n">
        <v>46081</v>
      </c>
      <c r="C434" s="3" t="n">
        <v>46081</v>
      </c>
      <c r="D434" s="2" t="s">
        <v>21</v>
      </c>
      <c r="E434" s="4" t="s">
        <v>33</v>
      </c>
      <c r="F434" s="5" t="n">
        <v>79200</v>
      </c>
      <c r="G434" s="6" t="n">
        <f aca="false">G433+IF(E434="Credit",F434,IF(E434="Debit",-F434,0))</f>
        <v>12072009</v>
      </c>
      <c r="H434" s="4" t="s">
        <v>53</v>
      </c>
      <c r="I434" s="2" t="s">
        <v>239</v>
      </c>
      <c r="J434" s="2" t="s">
        <v>1694</v>
      </c>
      <c r="K434" s="4" t="s">
        <v>240</v>
      </c>
      <c r="L434" s="2" t="s">
        <v>241</v>
      </c>
      <c r="M434" s="4" t="s">
        <v>223</v>
      </c>
      <c r="N434" s="2" t="s">
        <v>1701</v>
      </c>
      <c r="O434" s="2" t="s">
        <v>225</v>
      </c>
      <c r="P434" s="2" t="s">
        <v>243</v>
      </c>
      <c r="Q434" s="2"/>
      <c r="R434" s="4" t="s">
        <v>30</v>
      </c>
      <c r="S434" s="5" t="n">
        <v>0</v>
      </c>
      <c r="T434" s="2"/>
    </row>
    <row r="435" customFormat="false" ht="15" hidden="false" customHeight="false" outlineLevel="0" collapsed="false">
      <c r="A435" s="2" t="s">
        <v>1702</v>
      </c>
      <c r="B435" s="3" t="n">
        <v>46081</v>
      </c>
      <c r="C435" s="3" t="n">
        <v>46081</v>
      </c>
      <c r="D435" s="2" t="s">
        <v>21</v>
      </c>
      <c r="E435" s="4" t="s">
        <v>33</v>
      </c>
      <c r="F435" s="5" t="n">
        <v>100700</v>
      </c>
      <c r="G435" s="6" t="n">
        <f aca="false">G434+IF(E435="Credit",F435,IF(E435="Debit",-F435,0))</f>
        <v>11971309</v>
      </c>
      <c r="H435" s="4" t="s">
        <v>53</v>
      </c>
      <c r="I435" s="2" t="s">
        <v>245</v>
      </c>
      <c r="J435" s="2" t="s">
        <v>1694</v>
      </c>
      <c r="K435" s="4" t="s">
        <v>246</v>
      </c>
      <c r="L435" s="2" t="s">
        <v>247</v>
      </c>
      <c r="M435" s="4" t="s">
        <v>223</v>
      </c>
      <c r="N435" s="2" t="s">
        <v>1703</v>
      </c>
      <c r="O435" s="2" t="s">
        <v>225</v>
      </c>
      <c r="P435" s="2" t="s">
        <v>226</v>
      </c>
      <c r="Q435" s="2"/>
      <c r="R435" s="4" t="s">
        <v>30</v>
      </c>
      <c r="S435" s="5" t="n">
        <v>0</v>
      </c>
      <c r="T435" s="2"/>
    </row>
    <row r="436" customFormat="false" ht="15" hidden="false" customHeight="false" outlineLevel="0" collapsed="false">
      <c r="A436" s="2" t="s">
        <v>1704</v>
      </c>
      <c r="B436" s="3" t="n">
        <v>46081</v>
      </c>
      <c r="C436" s="3" t="n">
        <v>46081</v>
      </c>
      <c r="D436" s="2" t="s">
        <v>21</v>
      </c>
      <c r="E436" s="4" t="s">
        <v>33</v>
      </c>
      <c r="F436" s="5" t="n">
        <v>66600</v>
      </c>
      <c r="G436" s="6" t="n">
        <f aca="false">G435+IF(E436="Credit",F436,IF(E436="Debit",-F436,0))</f>
        <v>11904709</v>
      </c>
      <c r="H436" s="4" t="s">
        <v>53</v>
      </c>
      <c r="I436" s="2" t="s">
        <v>250</v>
      </c>
      <c r="J436" s="2" t="s">
        <v>1694</v>
      </c>
      <c r="K436" s="4" t="s">
        <v>251</v>
      </c>
      <c r="L436" s="2" t="s">
        <v>252</v>
      </c>
      <c r="M436" s="4" t="s">
        <v>223</v>
      </c>
      <c r="N436" s="2" t="s">
        <v>1705</v>
      </c>
      <c r="O436" s="2" t="s">
        <v>225</v>
      </c>
      <c r="P436" s="2" t="s">
        <v>226</v>
      </c>
      <c r="Q436" s="2"/>
      <c r="R436" s="4" t="s">
        <v>30</v>
      </c>
      <c r="S436" s="5" t="n">
        <v>0</v>
      </c>
      <c r="T436" s="2"/>
    </row>
    <row r="437" customFormat="false" ht="15" hidden="false" customHeight="false" outlineLevel="0" collapsed="false">
      <c r="A437" s="2" t="s">
        <v>1706</v>
      </c>
      <c r="B437" s="3" t="n">
        <v>46081</v>
      </c>
      <c r="C437" s="3" t="n">
        <v>46081</v>
      </c>
      <c r="D437" s="2" t="s">
        <v>21</v>
      </c>
      <c r="E437" s="4" t="s">
        <v>33</v>
      </c>
      <c r="F437" s="5" t="n">
        <v>84100</v>
      </c>
      <c r="G437" s="6" t="n">
        <f aca="false">G436+IF(E437="Credit",F437,IF(E437="Debit",-F437,0))</f>
        <v>11820609</v>
      </c>
      <c r="H437" s="4" t="s">
        <v>53</v>
      </c>
      <c r="I437" s="2" t="s">
        <v>255</v>
      </c>
      <c r="J437" s="2" t="s">
        <v>1694</v>
      </c>
      <c r="K437" s="4" t="s">
        <v>256</v>
      </c>
      <c r="L437" s="2" t="s">
        <v>257</v>
      </c>
      <c r="M437" s="4" t="s">
        <v>223</v>
      </c>
      <c r="N437" s="2" t="s">
        <v>1707</v>
      </c>
      <c r="O437" s="2" t="s">
        <v>225</v>
      </c>
      <c r="P437" s="2" t="s">
        <v>237</v>
      </c>
      <c r="Q437" s="2"/>
      <c r="R437" s="4" t="s">
        <v>30</v>
      </c>
      <c r="S437" s="5" t="n">
        <v>0</v>
      </c>
      <c r="T437" s="2"/>
    </row>
    <row r="438" customFormat="false" ht="15" hidden="false" customHeight="false" outlineLevel="0" collapsed="false">
      <c r="A438" s="2" t="s">
        <v>1708</v>
      </c>
      <c r="B438" s="3" t="n">
        <v>46081</v>
      </c>
      <c r="C438" s="3" t="n">
        <v>46081</v>
      </c>
      <c r="D438" s="2" t="s">
        <v>21</v>
      </c>
      <c r="E438" s="4" t="s">
        <v>33</v>
      </c>
      <c r="F438" s="5" t="n">
        <v>92600</v>
      </c>
      <c r="G438" s="6" t="n">
        <f aca="false">G437+IF(E438="Credit",F438,IF(E438="Debit",-F438,0))</f>
        <v>11728009</v>
      </c>
      <c r="H438" s="4" t="s">
        <v>53</v>
      </c>
      <c r="I438" s="2" t="s">
        <v>260</v>
      </c>
      <c r="J438" s="2" t="s">
        <v>1694</v>
      </c>
      <c r="K438" s="4" t="s">
        <v>261</v>
      </c>
      <c r="L438" s="2" t="s">
        <v>262</v>
      </c>
      <c r="M438" s="4" t="s">
        <v>223</v>
      </c>
      <c r="N438" s="2" t="s">
        <v>1709</v>
      </c>
      <c r="O438" s="2" t="s">
        <v>225</v>
      </c>
      <c r="P438" s="2" t="s">
        <v>264</v>
      </c>
      <c r="Q438" s="2"/>
      <c r="R438" s="4" t="s">
        <v>30</v>
      </c>
      <c r="S438" s="5" t="n">
        <v>0</v>
      </c>
      <c r="T438" s="2"/>
    </row>
    <row r="439" customFormat="false" ht="15" hidden="false" customHeight="false" outlineLevel="0" collapsed="false">
      <c r="A439" s="2" t="s">
        <v>1710</v>
      </c>
      <c r="B439" s="3" t="n">
        <v>46081</v>
      </c>
      <c r="C439" s="3" t="n">
        <v>46081</v>
      </c>
      <c r="D439" s="2" t="s">
        <v>21</v>
      </c>
      <c r="E439" s="4" t="s">
        <v>33</v>
      </c>
      <c r="F439" s="5" t="n">
        <v>61400</v>
      </c>
      <c r="G439" s="6" t="n">
        <f aca="false">G438+IF(E439="Credit",F439,IF(E439="Debit",-F439,0))</f>
        <v>11666609</v>
      </c>
      <c r="H439" s="4" t="s">
        <v>53</v>
      </c>
      <c r="I439" s="2" t="s">
        <v>266</v>
      </c>
      <c r="J439" s="2" t="s">
        <v>1694</v>
      </c>
      <c r="K439" s="4" t="s">
        <v>267</v>
      </c>
      <c r="L439" s="2" t="s">
        <v>268</v>
      </c>
      <c r="M439" s="4" t="s">
        <v>223</v>
      </c>
      <c r="N439" s="2" t="s">
        <v>1711</v>
      </c>
      <c r="O439" s="2" t="s">
        <v>225</v>
      </c>
      <c r="P439" s="2" t="s">
        <v>270</v>
      </c>
      <c r="Q439" s="2"/>
      <c r="R439" s="4" t="s">
        <v>30</v>
      </c>
      <c r="S439" s="5" t="n">
        <v>0</v>
      </c>
      <c r="T439" s="2"/>
    </row>
    <row r="440" customFormat="false" ht="15" hidden="false" customHeight="false" outlineLevel="0" collapsed="false">
      <c r="A440" s="2" t="s">
        <v>1712</v>
      </c>
      <c r="B440" s="3" t="n">
        <v>46081</v>
      </c>
      <c r="C440" s="3" t="n">
        <v>46081</v>
      </c>
      <c r="D440" s="2" t="s">
        <v>21</v>
      </c>
      <c r="E440" s="4" t="s">
        <v>33</v>
      </c>
      <c r="F440" s="5" t="n">
        <v>89900</v>
      </c>
      <c r="G440" s="6" t="n">
        <f aca="false">G439+IF(E440="Credit",F440,IF(E440="Debit",-F440,0))</f>
        <v>11576709</v>
      </c>
      <c r="H440" s="4" t="s">
        <v>53</v>
      </c>
      <c r="I440" s="2" t="s">
        <v>272</v>
      </c>
      <c r="J440" s="2" t="s">
        <v>1694</v>
      </c>
      <c r="K440" s="4" t="s">
        <v>273</v>
      </c>
      <c r="L440" s="2" t="s">
        <v>274</v>
      </c>
      <c r="M440" s="4" t="s">
        <v>223</v>
      </c>
      <c r="N440" s="2" t="s">
        <v>1713</v>
      </c>
      <c r="O440" s="2" t="s">
        <v>225</v>
      </c>
      <c r="P440" s="2" t="s">
        <v>276</v>
      </c>
      <c r="Q440" s="2"/>
      <c r="R440" s="4" t="s">
        <v>30</v>
      </c>
      <c r="S440" s="5" t="n">
        <v>0</v>
      </c>
      <c r="T440" s="2"/>
    </row>
    <row r="441" customFormat="false" ht="15" hidden="false" customHeight="false" outlineLevel="0" collapsed="false">
      <c r="A441" s="2" t="s">
        <v>1714</v>
      </c>
      <c r="B441" s="3" t="n">
        <v>46081</v>
      </c>
      <c r="C441" s="3" t="n">
        <v>46081</v>
      </c>
      <c r="D441" s="2" t="s">
        <v>21</v>
      </c>
      <c r="E441" s="4" t="s">
        <v>33</v>
      </c>
      <c r="F441" s="5" t="n">
        <v>145500</v>
      </c>
      <c r="G441" s="6" t="n">
        <f aca="false">G440+IF(E441="Credit",F441,IF(E441="Debit",-F441,0))</f>
        <v>11431209</v>
      </c>
      <c r="H441" s="4" t="s">
        <v>53</v>
      </c>
      <c r="I441" s="2" t="s">
        <v>278</v>
      </c>
      <c r="J441" s="2" t="s">
        <v>1694</v>
      </c>
      <c r="K441" s="4" t="s">
        <v>279</v>
      </c>
      <c r="L441" s="2" t="s">
        <v>280</v>
      </c>
      <c r="M441" s="4" t="s">
        <v>223</v>
      </c>
      <c r="N441" s="2" t="s">
        <v>1715</v>
      </c>
      <c r="O441" s="2" t="s">
        <v>225</v>
      </c>
      <c r="P441" s="2" t="s">
        <v>226</v>
      </c>
      <c r="Q441" s="2"/>
      <c r="R441" s="4" t="s">
        <v>30</v>
      </c>
      <c r="S441" s="5" t="n">
        <v>0</v>
      </c>
      <c r="T441" s="2"/>
    </row>
    <row r="442" customFormat="false" ht="15" hidden="false" customHeight="false" outlineLevel="0" collapsed="false">
      <c r="A442" s="2" t="s">
        <v>1716</v>
      </c>
      <c r="B442" s="3" t="n">
        <v>46081</v>
      </c>
      <c r="C442" s="3" t="n">
        <v>46081</v>
      </c>
      <c r="D442" s="2" t="s">
        <v>21</v>
      </c>
      <c r="E442" s="4" t="s">
        <v>33</v>
      </c>
      <c r="F442" s="5" t="n">
        <v>59000</v>
      </c>
      <c r="G442" s="6" t="n">
        <f aca="false">G441+IF(E442="Credit",F442,IF(E442="Debit",-F442,0))</f>
        <v>11372209</v>
      </c>
      <c r="H442" s="4" t="s">
        <v>53</v>
      </c>
      <c r="I442" s="2" t="s">
        <v>283</v>
      </c>
      <c r="J442" s="2" t="s">
        <v>1694</v>
      </c>
      <c r="K442" s="4" t="s">
        <v>284</v>
      </c>
      <c r="L442" s="2" t="s">
        <v>285</v>
      </c>
      <c r="M442" s="4" t="s">
        <v>223</v>
      </c>
      <c r="N442" s="2" t="s">
        <v>1717</v>
      </c>
      <c r="O442" s="2" t="s">
        <v>225</v>
      </c>
      <c r="P442" s="2" t="s">
        <v>287</v>
      </c>
      <c r="Q442" s="2"/>
      <c r="R442" s="4" t="s">
        <v>30</v>
      </c>
      <c r="S442" s="5" t="n">
        <v>0</v>
      </c>
      <c r="T442" s="2"/>
    </row>
    <row r="443" customFormat="false" ht="15" hidden="false" customHeight="false" outlineLevel="0" collapsed="false">
      <c r="A443" s="2" t="s">
        <v>1718</v>
      </c>
      <c r="B443" s="3" t="n">
        <v>46081</v>
      </c>
      <c r="C443" s="3" t="n">
        <v>46081</v>
      </c>
      <c r="D443" s="2" t="s">
        <v>21</v>
      </c>
      <c r="E443" s="4" t="s">
        <v>33</v>
      </c>
      <c r="F443" s="5" t="n">
        <v>28000</v>
      </c>
      <c r="G443" s="6" t="n">
        <f aca="false">G442+IF(E443="Credit",F443,IF(E443="Debit",-F443,0))</f>
        <v>11344209</v>
      </c>
      <c r="H443" s="4" t="s">
        <v>99</v>
      </c>
      <c r="I443" s="2" t="s">
        <v>905</v>
      </c>
      <c r="J443" s="2" t="s">
        <v>906</v>
      </c>
      <c r="K443" s="4" t="s">
        <v>907</v>
      </c>
      <c r="L443" s="2" t="s">
        <v>908</v>
      </c>
      <c r="M443" s="4" t="s">
        <v>167</v>
      </c>
      <c r="N443" s="2" t="s">
        <v>1719</v>
      </c>
      <c r="O443" s="2" t="s">
        <v>910</v>
      </c>
      <c r="P443" s="2" t="s">
        <v>911</v>
      </c>
      <c r="Q443" s="2"/>
      <c r="R443" s="4" t="s">
        <v>30</v>
      </c>
      <c r="S443" s="5" t="n">
        <v>0</v>
      </c>
      <c r="T443" s="2"/>
    </row>
    <row r="444" customFormat="false" ht="15" hidden="false" customHeight="false" outlineLevel="0" collapsed="false">
      <c r="A444" s="2" t="s">
        <v>1720</v>
      </c>
      <c r="B444" s="3" t="n">
        <v>46082</v>
      </c>
      <c r="C444" s="3" t="n">
        <v>46082</v>
      </c>
      <c r="D444" s="2" t="s">
        <v>21</v>
      </c>
      <c r="E444" s="4" t="s">
        <v>33</v>
      </c>
      <c r="F444" s="5" t="n">
        <v>73400</v>
      </c>
      <c r="G444" s="6" t="n">
        <f aca="false">G443+IF(E444="Credit",F444,IF(E444="Debit",-F444,0))</f>
        <v>11270809</v>
      </c>
      <c r="H444" s="4" t="s">
        <v>53</v>
      </c>
      <c r="I444" s="2" t="s">
        <v>219</v>
      </c>
      <c r="J444" s="2" t="s">
        <v>1721</v>
      </c>
      <c r="K444" s="4" t="s">
        <v>221</v>
      </c>
      <c r="L444" s="2" t="s">
        <v>222</v>
      </c>
      <c r="M444" s="4" t="s">
        <v>223</v>
      </c>
      <c r="N444" s="2" t="s">
        <v>1722</v>
      </c>
      <c r="O444" s="2" t="s">
        <v>225</v>
      </c>
      <c r="P444" s="2" t="s">
        <v>226</v>
      </c>
      <c r="Q444" s="2"/>
      <c r="R444" s="4" t="s">
        <v>30</v>
      </c>
      <c r="S444" s="5" t="n">
        <v>0</v>
      </c>
      <c r="T444" s="2"/>
    </row>
    <row r="445" customFormat="false" ht="15" hidden="false" customHeight="false" outlineLevel="0" collapsed="false">
      <c r="A445" s="2" t="s">
        <v>1723</v>
      </c>
      <c r="B445" s="3" t="n">
        <v>46082</v>
      </c>
      <c r="C445" s="3" t="n">
        <v>46082</v>
      </c>
      <c r="D445" s="2" t="s">
        <v>21</v>
      </c>
      <c r="E445" s="4" t="s">
        <v>33</v>
      </c>
      <c r="F445" s="5" t="n">
        <v>100700</v>
      </c>
      <c r="G445" s="6" t="n">
        <f aca="false">G444+IF(E445="Credit",F445,IF(E445="Debit",-F445,0))</f>
        <v>11170109</v>
      </c>
      <c r="H445" s="4" t="s">
        <v>53</v>
      </c>
      <c r="I445" s="2" t="s">
        <v>228</v>
      </c>
      <c r="J445" s="2" t="s">
        <v>1721</v>
      </c>
      <c r="K445" s="4" t="s">
        <v>229</v>
      </c>
      <c r="L445" s="2" t="s">
        <v>230</v>
      </c>
      <c r="M445" s="4" t="s">
        <v>223</v>
      </c>
      <c r="N445" s="2" t="s">
        <v>1724</v>
      </c>
      <c r="O445" s="2" t="s">
        <v>225</v>
      </c>
      <c r="P445" s="2" t="s">
        <v>226</v>
      </c>
      <c r="Q445" s="2"/>
      <c r="R445" s="4" t="s">
        <v>30</v>
      </c>
      <c r="S445" s="5" t="n">
        <v>0</v>
      </c>
      <c r="T445" s="2"/>
    </row>
    <row r="446" customFormat="false" ht="15" hidden="false" customHeight="false" outlineLevel="0" collapsed="false">
      <c r="A446" s="2" t="s">
        <v>1725</v>
      </c>
      <c r="B446" s="3" t="n">
        <v>46082</v>
      </c>
      <c r="C446" s="3" t="n">
        <v>46082</v>
      </c>
      <c r="D446" s="2" t="s">
        <v>21</v>
      </c>
      <c r="E446" s="4" t="s">
        <v>33</v>
      </c>
      <c r="F446" s="5" t="n">
        <v>126000</v>
      </c>
      <c r="G446" s="6" t="n">
        <f aca="false">G445+IF(E446="Credit",F446,IF(E446="Debit",-F446,0))</f>
        <v>11044109</v>
      </c>
      <c r="H446" s="4" t="s">
        <v>53</v>
      </c>
      <c r="I446" s="2" t="s">
        <v>233</v>
      </c>
      <c r="J446" s="2" t="s">
        <v>1721</v>
      </c>
      <c r="K446" s="4" t="s">
        <v>234</v>
      </c>
      <c r="L446" s="2" t="s">
        <v>235</v>
      </c>
      <c r="M446" s="4" t="s">
        <v>223</v>
      </c>
      <c r="N446" s="2" t="s">
        <v>1726</v>
      </c>
      <c r="O446" s="2" t="s">
        <v>225</v>
      </c>
      <c r="P446" s="2" t="s">
        <v>237</v>
      </c>
      <c r="Q446" s="2"/>
      <c r="R446" s="4" t="s">
        <v>30</v>
      </c>
      <c r="S446" s="5" t="n">
        <v>0</v>
      </c>
      <c r="T446" s="2"/>
    </row>
    <row r="447" customFormat="false" ht="15" hidden="false" customHeight="false" outlineLevel="0" collapsed="false">
      <c r="A447" s="2" t="s">
        <v>1727</v>
      </c>
      <c r="B447" s="3" t="n">
        <v>46082</v>
      </c>
      <c r="C447" s="3" t="n">
        <v>46082</v>
      </c>
      <c r="D447" s="2" t="s">
        <v>21</v>
      </c>
      <c r="E447" s="4" t="s">
        <v>33</v>
      </c>
      <c r="F447" s="5" t="n">
        <v>78900</v>
      </c>
      <c r="G447" s="6" t="n">
        <f aca="false">G446+IF(E447="Credit",F447,IF(E447="Debit",-F447,0))</f>
        <v>10965209</v>
      </c>
      <c r="H447" s="4" t="s">
        <v>53</v>
      </c>
      <c r="I447" s="2" t="s">
        <v>239</v>
      </c>
      <c r="J447" s="2" t="s">
        <v>1721</v>
      </c>
      <c r="K447" s="4" t="s">
        <v>240</v>
      </c>
      <c r="L447" s="2" t="s">
        <v>241</v>
      </c>
      <c r="M447" s="4" t="s">
        <v>223</v>
      </c>
      <c r="N447" s="2" t="s">
        <v>1728</v>
      </c>
      <c r="O447" s="2" t="s">
        <v>225</v>
      </c>
      <c r="P447" s="2" t="s">
        <v>243</v>
      </c>
      <c r="Q447" s="2"/>
      <c r="R447" s="4" t="s">
        <v>30</v>
      </c>
      <c r="S447" s="5" t="n">
        <v>0</v>
      </c>
      <c r="T447" s="2"/>
    </row>
    <row r="448" customFormat="false" ht="15" hidden="false" customHeight="false" outlineLevel="0" collapsed="false">
      <c r="A448" s="2" t="s">
        <v>1729</v>
      </c>
      <c r="B448" s="3" t="n">
        <v>46082</v>
      </c>
      <c r="C448" s="3" t="n">
        <v>46082</v>
      </c>
      <c r="D448" s="2" t="s">
        <v>21</v>
      </c>
      <c r="E448" s="4" t="s">
        <v>33</v>
      </c>
      <c r="F448" s="5" t="n">
        <v>103100</v>
      </c>
      <c r="G448" s="6" t="n">
        <f aca="false">G447+IF(E448="Credit",F448,IF(E448="Debit",-F448,0))</f>
        <v>10862109</v>
      </c>
      <c r="H448" s="4" t="s">
        <v>53</v>
      </c>
      <c r="I448" s="2" t="s">
        <v>245</v>
      </c>
      <c r="J448" s="2" t="s">
        <v>1721</v>
      </c>
      <c r="K448" s="4" t="s">
        <v>246</v>
      </c>
      <c r="L448" s="2" t="s">
        <v>247</v>
      </c>
      <c r="M448" s="4" t="s">
        <v>223</v>
      </c>
      <c r="N448" s="2" t="s">
        <v>1730</v>
      </c>
      <c r="O448" s="2" t="s">
        <v>225</v>
      </c>
      <c r="P448" s="2" t="s">
        <v>226</v>
      </c>
      <c r="Q448" s="2"/>
      <c r="R448" s="4" t="s">
        <v>30</v>
      </c>
      <c r="S448" s="5" t="n">
        <v>0</v>
      </c>
      <c r="T448" s="2"/>
    </row>
    <row r="449" customFormat="false" ht="15" hidden="false" customHeight="false" outlineLevel="0" collapsed="false">
      <c r="A449" s="2" t="s">
        <v>1731</v>
      </c>
      <c r="B449" s="3" t="n">
        <v>46082</v>
      </c>
      <c r="C449" s="3" t="n">
        <v>46082</v>
      </c>
      <c r="D449" s="2" t="s">
        <v>21</v>
      </c>
      <c r="E449" s="4" t="s">
        <v>33</v>
      </c>
      <c r="F449" s="5" t="n">
        <v>67600</v>
      </c>
      <c r="G449" s="6" t="n">
        <f aca="false">G448+IF(E449="Credit",F449,IF(E449="Debit",-F449,0))</f>
        <v>10794509</v>
      </c>
      <c r="H449" s="4" t="s">
        <v>53</v>
      </c>
      <c r="I449" s="2" t="s">
        <v>250</v>
      </c>
      <c r="J449" s="2" t="s">
        <v>1721</v>
      </c>
      <c r="K449" s="4" t="s">
        <v>251</v>
      </c>
      <c r="L449" s="2" t="s">
        <v>252</v>
      </c>
      <c r="M449" s="4" t="s">
        <v>223</v>
      </c>
      <c r="N449" s="2" t="s">
        <v>1732</v>
      </c>
      <c r="O449" s="2" t="s">
        <v>225</v>
      </c>
      <c r="P449" s="2" t="s">
        <v>226</v>
      </c>
      <c r="Q449" s="2"/>
      <c r="R449" s="4" t="s">
        <v>30</v>
      </c>
      <c r="S449" s="5" t="n">
        <v>0</v>
      </c>
      <c r="T449" s="2"/>
    </row>
    <row r="450" customFormat="false" ht="15" hidden="false" customHeight="false" outlineLevel="0" collapsed="false">
      <c r="A450" s="2" t="s">
        <v>1733</v>
      </c>
      <c r="B450" s="3" t="n">
        <v>46082</v>
      </c>
      <c r="C450" s="3" t="n">
        <v>46082</v>
      </c>
      <c r="D450" s="2" t="s">
        <v>21</v>
      </c>
      <c r="E450" s="4" t="s">
        <v>33</v>
      </c>
      <c r="F450" s="5" t="n">
        <v>83900</v>
      </c>
      <c r="G450" s="6" t="n">
        <f aca="false">G449+IF(E450="Credit",F450,IF(E450="Debit",-F450,0))</f>
        <v>10710609</v>
      </c>
      <c r="H450" s="4" t="s">
        <v>53</v>
      </c>
      <c r="I450" s="2" t="s">
        <v>255</v>
      </c>
      <c r="J450" s="2" t="s">
        <v>1721</v>
      </c>
      <c r="K450" s="4" t="s">
        <v>256</v>
      </c>
      <c r="L450" s="2" t="s">
        <v>257</v>
      </c>
      <c r="M450" s="4" t="s">
        <v>223</v>
      </c>
      <c r="N450" s="2" t="s">
        <v>1734</v>
      </c>
      <c r="O450" s="2" t="s">
        <v>225</v>
      </c>
      <c r="P450" s="2" t="s">
        <v>237</v>
      </c>
      <c r="Q450" s="2"/>
      <c r="R450" s="4" t="s">
        <v>30</v>
      </c>
      <c r="S450" s="5" t="n">
        <v>0</v>
      </c>
      <c r="T450" s="2"/>
    </row>
    <row r="451" customFormat="false" ht="15" hidden="false" customHeight="false" outlineLevel="0" collapsed="false">
      <c r="A451" s="2" t="s">
        <v>1735</v>
      </c>
      <c r="B451" s="3" t="n">
        <v>46082</v>
      </c>
      <c r="C451" s="3" t="n">
        <v>46082</v>
      </c>
      <c r="D451" s="2" t="s">
        <v>21</v>
      </c>
      <c r="E451" s="4" t="s">
        <v>33</v>
      </c>
      <c r="F451" s="5" t="n">
        <v>91900</v>
      </c>
      <c r="G451" s="6" t="n">
        <f aca="false">G450+IF(E451="Credit",F451,IF(E451="Debit",-F451,0))</f>
        <v>10618709</v>
      </c>
      <c r="H451" s="4" t="s">
        <v>53</v>
      </c>
      <c r="I451" s="2" t="s">
        <v>260</v>
      </c>
      <c r="J451" s="2" t="s">
        <v>1721</v>
      </c>
      <c r="K451" s="4" t="s">
        <v>261</v>
      </c>
      <c r="L451" s="2" t="s">
        <v>262</v>
      </c>
      <c r="M451" s="4" t="s">
        <v>223</v>
      </c>
      <c r="N451" s="2" t="s">
        <v>1736</v>
      </c>
      <c r="O451" s="2" t="s">
        <v>225</v>
      </c>
      <c r="P451" s="2" t="s">
        <v>264</v>
      </c>
      <c r="Q451" s="2"/>
      <c r="R451" s="4" t="s">
        <v>30</v>
      </c>
      <c r="S451" s="5" t="n">
        <v>0</v>
      </c>
      <c r="T451" s="2"/>
    </row>
    <row r="452" customFormat="false" ht="15" hidden="false" customHeight="false" outlineLevel="0" collapsed="false">
      <c r="A452" s="2" t="s">
        <v>1737</v>
      </c>
      <c r="B452" s="3" t="n">
        <v>46082</v>
      </c>
      <c r="C452" s="3" t="n">
        <v>46082</v>
      </c>
      <c r="D452" s="2" t="s">
        <v>21</v>
      </c>
      <c r="E452" s="4" t="s">
        <v>33</v>
      </c>
      <c r="F452" s="5" t="n">
        <v>63400</v>
      </c>
      <c r="G452" s="6" t="n">
        <f aca="false">G451+IF(E452="Credit",F452,IF(E452="Debit",-F452,0))</f>
        <v>10555309</v>
      </c>
      <c r="H452" s="4" t="s">
        <v>53</v>
      </c>
      <c r="I452" s="2" t="s">
        <v>266</v>
      </c>
      <c r="J452" s="2" t="s">
        <v>1721</v>
      </c>
      <c r="K452" s="4" t="s">
        <v>267</v>
      </c>
      <c r="L452" s="2" t="s">
        <v>268</v>
      </c>
      <c r="M452" s="4" t="s">
        <v>223</v>
      </c>
      <c r="N452" s="2" t="s">
        <v>1738</v>
      </c>
      <c r="O452" s="2" t="s">
        <v>225</v>
      </c>
      <c r="P452" s="2" t="s">
        <v>270</v>
      </c>
      <c r="Q452" s="2"/>
      <c r="R452" s="4" t="s">
        <v>30</v>
      </c>
      <c r="S452" s="5" t="n">
        <v>0</v>
      </c>
      <c r="T452" s="2"/>
    </row>
    <row r="453" customFormat="false" ht="15" hidden="false" customHeight="false" outlineLevel="0" collapsed="false">
      <c r="A453" s="2" t="s">
        <v>1739</v>
      </c>
      <c r="B453" s="3" t="n">
        <v>46082</v>
      </c>
      <c r="C453" s="3" t="n">
        <v>46082</v>
      </c>
      <c r="D453" s="2" t="s">
        <v>21</v>
      </c>
      <c r="E453" s="4" t="s">
        <v>33</v>
      </c>
      <c r="F453" s="5" t="n">
        <v>88100</v>
      </c>
      <c r="G453" s="6" t="n">
        <f aca="false">G452+IF(E453="Credit",F453,IF(E453="Debit",-F453,0))</f>
        <v>10467209</v>
      </c>
      <c r="H453" s="4" t="s">
        <v>53</v>
      </c>
      <c r="I453" s="2" t="s">
        <v>272</v>
      </c>
      <c r="J453" s="2" t="s">
        <v>1721</v>
      </c>
      <c r="K453" s="4" t="s">
        <v>273</v>
      </c>
      <c r="L453" s="2" t="s">
        <v>274</v>
      </c>
      <c r="M453" s="4" t="s">
        <v>223</v>
      </c>
      <c r="N453" s="2" t="s">
        <v>1740</v>
      </c>
      <c r="O453" s="2" t="s">
        <v>225</v>
      </c>
      <c r="P453" s="2" t="s">
        <v>276</v>
      </c>
      <c r="Q453" s="2"/>
      <c r="R453" s="4" t="s">
        <v>30</v>
      </c>
      <c r="S453" s="5" t="n">
        <v>0</v>
      </c>
      <c r="T453" s="2"/>
    </row>
    <row r="454" customFormat="false" ht="15" hidden="false" customHeight="false" outlineLevel="0" collapsed="false">
      <c r="A454" s="2" t="s">
        <v>1741</v>
      </c>
      <c r="B454" s="3" t="n">
        <v>46082</v>
      </c>
      <c r="C454" s="3" t="n">
        <v>46082</v>
      </c>
      <c r="D454" s="2" t="s">
        <v>21</v>
      </c>
      <c r="E454" s="4" t="s">
        <v>33</v>
      </c>
      <c r="F454" s="5" t="n">
        <v>145900</v>
      </c>
      <c r="G454" s="6" t="n">
        <f aca="false">G453+IF(E454="Credit",F454,IF(E454="Debit",-F454,0))</f>
        <v>10321309</v>
      </c>
      <c r="H454" s="4" t="s">
        <v>53</v>
      </c>
      <c r="I454" s="2" t="s">
        <v>278</v>
      </c>
      <c r="J454" s="2" t="s">
        <v>1721</v>
      </c>
      <c r="K454" s="4" t="s">
        <v>279</v>
      </c>
      <c r="L454" s="2" t="s">
        <v>280</v>
      </c>
      <c r="M454" s="4" t="s">
        <v>223</v>
      </c>
      <c r="N454" s="2" t="s">
        <v>1742</v>
      </c>
      <c r="O454" s="2" t="s">
        <v>225</v>
      </c>
      <c r="P454" s="2" t="s">
        <v>226</v>
      </c>
      <c r="Q454" s="2"/>
      <c r="R454" s="4" t="s">
        <v>30</v>
      </c>
      <c r="S454" s="5" t="n">
        <v>0</v>
      </c>
      <c r="T454" s="2"/>
    </row>
    <row r="455" customFormat="false" ht="15" hidden="false" customHeight="false" outlineLevel="0" collapsed="false">
      <c r="A455" s="2" t="s">
        <v>1743</v>
      </c>
      <c r="B455" s="3" t="n">
        <v>46082</v>
      </c>
      <c r="C455" s="3" t="n">
        <v>46082</v>
      </c>
      <c r="D455" s="2" t="s">
        <v>21</v>
      </c>
      <c r="E455" s="4" t="s">
        <v>33</v>
      </c>
      <c r="F455" s="5" t="n">
        <v>59600</v>
      </c>
      <c r="G455" s="6" t="n">
        <f aca="false">G454+IF(E455="Credit",F455,IF(E455="Debit",-F455,0))</f>
        <v>10261709</v>
      </c>
      <c r="H455" s="4" t="s">
        <v>53</v>
      </c>
      <c r="I455" s="2" t="s">
        <v>283</v>
      </c>
      <c r="J455" s="2" t="s">
        <v>1721</v>
      </c>
      <c r="K455" s="4" t="s">
        <v>284</v>
      </c>
      <c r="L455" s="2" t="s">
        <v>285</v>
      </c>
      <c r="M455" s="4" t="s">
        <v>223</v>
      </c>
      <c r="N455" s="2" t="s">
        <v>1744</v>
      </c>
      <c r="O455" s="2" t="s">
        <v>225</v>
      </c>
      <c r="P455" s="2" t="s">
        <v>287</v>
      </c>
      <c r="Q455" s="2"/>
      <c r="R455" s="4" t="s">
        <v>30</v>
      </c>
      <c r="S455" s="5" t="n">
        <v>0</v>
      </c>
      <c r="T455" s="2"/>
    </row>
    <row r="456" customFormat="false" ht="15" hidden="false" customHeight="false" outlineLevel="0" collapsed="false">
      <c r="A456" s="2" t="s">
        <v>1745</v>
      </c>
      <c r="B456" s="3" t="n">
        <v>46083</v>
      </c>
      <c r="C456" s="3" t="n">
        <v>46083</v>
      </c>
      <c r="D456" s="2" t="s">
        <v>21</v>
      </c>
      <c r="E456" s="4" t="s">
        <v>33</v>
      </c>
      <c r="F456" s="5" t="n">
        <v>55100</v>
      </c>
      <c r="G456" s="6" t="n">
        <f aca="false">G455+IF(E456="Credit",F456,IF(E456="Debit",-F456,0))</f>
        <v>10206609</v>
      </c>
      <c r="H456" s="4" t="s">
        <v>74</v>
      </c>
      <c r="I456" s="2" t="s">
        <v>1746</v>
      </c>
      <c r="J456" s="2" t="s">
        <v>1747</v>
      </c>
      <c r="K456" s="4" t="s">
        <v>454</v>
      </c>
      <c r="L456" s="2" t="s">
        <v>455</v>
      </c>
      <c r="M456" s="4" t="s">
        <v>58</v>
      </c>
      <c r="N456" s="2" t="s">
        <v>1748</v>
      </c>
      <c r="O456" s="2" t="s">
        <v>111</v>
      </c>
      <c r="P456" s="2" t="s">
        <v>112</v>
      </c>
      <c r="Q456" s="2" t="s">
        <v>1635</v>
      </c>
      <c r="R456" s="4" t="s">
        <v>30</v>
      </c>
      <c r="S456" s="5" t="n">
        <v>0</v>
      </c>
      <c r="T456" s="2" t="s">
        <v>1749</v>
      </c>
    </row>
    <row r="457" customFormat="false" ht="15" hidden="false" customHeight="false" outlineLevel="0" collapsed="false">
      <c r="A457" s="2" t="s">
        <v>1750</v>
      </c>
      <c r="B457" s="3" t="n">
        <v>46084</v>
      </c>
      <c r="C457" s="3" t="n">
        <v>46084</v>
      </c>
      <c r="D457" s="2" t="s">
        <v>21</v>
      </c>
      <c r="E457" s="4" t="s">
        <v>33</v>
      </c>
      <c r="F457" s="5" t="n">
        <v>100700</v>
      </c>
      <c r="G457" s="6" t="n">
        <f aca="false">G456+IF(E457="Credit",F457,IF(E457="Debit",-F457,0))</f>
        <v>10105909</v>
      </c>
      <c r="H457" s="4" t="s">
        <v>43</v>
      </c>
      <c r="I457" s="2" t="s">
        <v>44</v>
      </c>
      <c r="J457" s="2" t="s">
        <v>1751</v>
      </c>
      <c r="K457" s="4" t="s">
        <v>46</v>
      </c>
      <c r="L457" s="2" t="s">
        <v>47</v>
      </c>
      <c r="M457" s="4" t="s">
        <v>38</v>
      </c>
      <c r="N457" s="2" t="s">
        <v>1752</v>
      </c>
      <c r="O457" s="2" t="s">
        <v>49</v>
      </c>
      <c r="P457" s="2" t="s">
        <v>50</v>
      </c>
      <c r="Q457" s="2"/>
      <c r="R457" s="4" t="s">
        <v>30</v>
      </c>
      <c r="S457" s="5" t="n">
        <v>0</v>
      </c>
      <c r="T457" s="2"/>
    </row>
    <row r="458" customFormat="false" ht="15" hidden="false" customHeight="false" outlineLevel="0" collapsed="false">
      <c r="A458" s="2" t="s">
        <v>1753</v>
      </c>
      <c r="B458" s="3" t="n">
        <v>46084</v>
      </c>
      <c r="C458" s="3" t="n">
        <v>46084</v>
      </c>
      <c r="D458" s="2" t="s">
        <v>21</v>
      </c>
      <c r="E458" s="4" t="s">
        <v>33</v>
      </c>
      <c r="F458" s="5" t="n">
        <v>25800</v>
      </c>
      <c r="G458" s="6" t="n">
        <f aca="false">G457+IF(E458="Credit",F458,IF(E458="Debit",-F458,0))</f>
        <v>10080109</v>
      </c>
      <c r="H458" s="4" t="s">
        <v>74</v>
      </c>
      <c r="I458" s="2" t="s">
        <v>780</v>
      </c>
      <c r="J458" s="2" t="s">
        <v>780</v>
      </c>
      <c r="K458" s="4" t="s">
        <v>165</v>
      </c>
      <c r="L458" s="2" t="s">
        <v>166</v>
      </c>
      <c r="M458" s="4" t="s">
        <v>167</v>
      </c>
      <c r="N458" s="2" t="s">
        <v>1754</v>
      </c>
      <c r="O458" s="2" t="s">
        <v>169</v>
      </c>
      <c r="P458" s="2" t="s">
        <v>170</v>
      </c>
      <c r="Q458" s="2"/>
      <c r="R458" s="4" t="s">
        <v>30</v>
      </c>
      <c r="S458" s="5" t="n">
        <v>0</v>
      </c>
      <c r="T458" s="2"/>
    </row>
    <row r="459" customFormat="false" ht="15" hidden="false" customHeight="false" outlineLevel="0" collapsed="false">
      <c r="A459" s="2" t="s">
        <v>1755</v>
      </c>
      <c r="B459" s="3" t="n">
        <v>46085</v>
      </c>
      <c r="C459" s="3" t="n">
        <v>46085</v>
      </c>
      <c r="D459" s="2" t="s">
        <v>21</v>
      </c>
      <c r="E459" s="4" t="s">
        <v>52</v>
      </c>
      <c r="F459" s="5" t="n">
        <v>40061</v>
      </c>
      <c r="G459" s="6" t="n">
        <f aca="false">G458+IF(E459="Credit",F459,IF(E459="Debit",-F459,0))</f>
        <v>10120170</v>
      </c>
      <c r="H459" s="4" t="s">
        <v>99</v>
      </c>
      <c r="I459" s="2" t="s">
        <v>785</v>
      </c>
      <c r="J459" s="2" t="s">
        <v>1756</v>
      </c>
      <c r="K459" s="4" t="s">
        <v>693</v>
      </c>
      <c r="L459" s="2" t="s">
        <v>694</v>
      </c>
      <c r="M459" s="4" t="s">
        <v>58</v>
      </c>
      <c r="N459" s="2" t="s">
        <v>1757</v>
      </c>
      <c r="O459" s="2" t="s">
        <v>60</v>
      </c>
      <c r="P459" s="2" t="s">
        <v>477</v>
      </c>
      <c r="Q459" s="2" t="s">
        <v>1629</v>
      </c>
      <c r="R459" s="4" t="s">
        <v>30</v>
      </c>
      <c r="S459" s="5" t="n">
        <v>6111</v>
      </c>
      <c r="T459" s="2" t="s">
        <v>1758</v>
      </c>
    </row>
    <row r="460" customFormat="false" ht="15" hidden="false" customHeight="false" outlineLevel="0" collapsed="false">
      <c r="A460" s="2" t="s">
        <v>1759</v>
      </c>
      <c r="B460" s="3" t="n">
        <v>46086</v>
      </c>
      <c r="C460" s="3" t="n">
        <v>46086</v>
      </c>
      <c r="D460" s="2" t="s">
        <v>21</v>
      </c>
      <c r="E460" s="4" t="s">
        <v>52</v>
      </c>
      <c r="F460" s="5" t="n">
        <v>39333</v>
      </c>
      <c r="G460" s="6" t="n">
        <f aca="false">G459+IF(E460="Credit",F460,IF(E460="Debit",-F460,0))</f>
        <v>10159503</v>
      </c>
      <c r="H460" s="4" t="s">
        <v>348</v>
      </c>
      <c r="I460" s="2" t="s">
        <v>1506</v>
      </c>
      <c r="J460" s="2" t="s">
        <v>1760</v>
      </c>
      <c r="K460" s="4" t="s">
        <v>764</v>
      </c>
      <c r="L460" s="2" t="s">
        <v>765</v>
      </c>
      <c r="M460" s="4" t="s">
        <v>58</v>
      </c>
      <c r="N460" s="2" t="s">
        <v>1761</v>
      </c>
      <c r="O460" s="2" t="s">
        <v>60</v>
      </c>
      <c r="P460" s="2" t="s">
        <v>935</v>
      </c>
      <c r="Q460" s="2" t="s">
        <v>1691</v>
      </c>
      <c r="R460" s="4" t="s">
        <v>30</v>
      </c>
      <c r="S460" s="5" t="n">
        <v>6000</v>
      </c>
      <c r="T460" s="2" t="s">
        <v>1762</v>
      </c>
    </row>
    <row r="461" customFormat="false" ht="15" hidden="false" customHeight="false" outlineLevel="0" collapsed="false">
      <c r="A461" s="2" t="s">
        <v>1763</v>
      </c>
      <c r="B461" s="3" t="n">
        <v>46086</v>
      </c>
      <c r="C461" s="3" t="n">
        <v>46086</v>
      </c>
      <c r="D461" s="2" t="s">
        <v>21</v>
      </c>
      <c r="E461" s="4" t="s">
        <v>33</v>
      </c>
      <c r="F461" s="5" t="n">
        <v>145000</v>
      </c>
      <c r="G461" s="6" t="n">
        <f aca="false">G460+IF(E461="Credit",F461,IF(E461="Debit",-F461,0))</f>
        <v>10014503</v>
      </c>
      <c r="H461" s="4" t="s">
        <v>64</v>
      </c>
      <c r="I461" s="2" t="s">
        <v>65</v>
      </c>
      <c r="J461" s="2" t="s">
        <v>1764</v>
      </c>
      <c r="K461" s="4" t="s">
        <v>67</v>
      </c>
      <c r="L461" s="2" t="s">
        <v>68</v>
      </c>
      <c r="M461" s="4" t="s">
        <v>69</v>
      </c>
      <c r="N461" s="2" t="s">
        <v>1765</v>
      </c>
      <c r="O461" s="2" t="s">
        <v>71</v>
      </c>
      <c r="P461" s="2" t="s">
        <v>72</v>
      </c>
      <c r="Q461" s="2"/>
      <c r="R461" s="4" t="s">
        <v>30</v>
      </c>
      <c r="S461" s="5" t="n">
        <v>0</v>
      </c>
      <c r="T461" s="2"/>
    </row>
    <row r="462" customFormat="false" ht="15" hidden="false" customHeight="false" outlineLevel="0" collapsed="false">
      <c r="A462" s="2" t="s">
        <v>1766</v>
      </c>
      <c r="B462" s="3" t="n">
        <v>46088</v>
      </c>
      <c r="C462" s="3" t="n">
        <v>46088</v>
      </c>
      <c r="D462" s="2" t="s">
        <v>21</v>
      </c>
      <c r="E462" s="4" t="s">
        <v>52</v>
      </c>
      <c r="F462" s="5" t="n">
        <v>448000</v>
      </c>
      <c r="G462" s="6" t="n">
        <f aca="false">G461+IF(E462="Credit",F462,IF(E462="Debit",-F462,0))</f>
        <v>10462503</v>
      </c>
      <c r="H462" s="4" t="s">
        <v>74</v>
      </c>
      <c r="I462" s="2" t="s">
        <v>1767</v>
      </c>
      <c r="J462" s="2" t="s">
        <v>1768</v>
      </c>
      <c r="K462" s="4" t="s">
        <v>465</v>
      </c>
      <c r="L462" s="2" t="s">
        <v>466</v>
      </c>
      <c r="M462" s="4" t="s">
        <v>58</v>
      </c>
      <c r="N462" s="2" t="s">
        <v>1769</v>
      </c>
      <c r="O462" s="2" t="s">
        <v>60</v>
      </c>
      <c r="P462" s="2" t="s">
        <v>522</v>
      </c>
      <c r="Q462" s="2" t="s">
        <v>1770</v>
      </c>
      <c r="R462" s="4" t="s">
        <v>30</v>
      </c>
      <c r="S462" s="5" t="n">
        <v>48000</v>
      </c>
      <c r="T462" s="2"/>
    </row>
    <row r="463" customFormat="false" ht="15" hidden="false" customHeight="false" outlineLevel="0" collapsed="false">
      <c r="A463" s="2" t="s">
        <v>1771</v>
      </c>
      <c r="B463" s="3" t="n">
        <v>46088</v>
      </c>
      <c r="C463" s="3" t="n">
        <v>46088</v>
      </c>
      <c r="D463" s="2" t="s">
        <v>21</v>
      </c>
      <c r="E463" s="4" t="s">
        <v>52</v>
      </c>
      <c r="F463" s="5" t="n">
        <v>188800</v>
      </c>
      <c r="G463" s="6" t="n">
        <f aca="false">G462+IF(E463="Credit",F463,IF(E463="Debit",-F463,0))</f>
        <v>10651303</v>
      </c>
      <c r="H463" s="4" t="s">
        <v>685</v>
      </c>
      <c r="I463" s="2" t="s">
        <v>1772</v>
      </c>
      <c r="J463" s="2" t="s">
        <v>1773</v>
      </c>
      <c r="K463" s="4" t="s">
        <v>1774</v>
      </c>
      <c r="L463" s="2" t="s">
        <v>1775</v>
      </c>
      <c r="M463" s="4" t="s">
        <v>58</v>
      </c>
      <c r="N463" s="2" t="s">
        <v>1776</v>
      </c>
      <c r="O463" s="2" t="s">
        <v>60</v>
      </c>
      <c r="P463" s="2" t="s">
        <v>935</v>
      </c>
      <c r="Q463" s="2" t="s">
        <v>1777</v>
      </c>
      <c r="R463" s="4" t="s">
        <v>30</v>
      </c>
      <c r="S463" s="5" t="n">
        <v>28800</v>
      </c>
      <c r="T463" s="2"/>
    </row>
    <row r="464" customFormat="false" ht="15" hidden="false" customHeight="false" outlineLevel="0" collapsed="false">
      <c r="A464" s="2" t="s">
        <v>1778</v>
      </c>
      <c r="B464" s="3" t="n">
        <v>46088</v>
      </c>
      <c r="C464" s="3" t="n">
        <v>46088</v>
      </c>
      <c r="D464" s="2" t="s">
        <v>21</v>
      </c>
      <c r="E464" s="4" t="s">
        <v>52</v>
      </c>
      <c r="F464" s="5" t="n">
        <v>99000</v>
      </c>
      <c r="G464" s="6" t="n">
        <f aca="false">G463+IF(E464="Credit",F464,IF(E464="Debit",-F464,0))</f>
        <v>10750303</v>
      </c>
      <c r="H464" s="4" t="s">
        <v>99</v>
      </c>
      <c r="I464" s="2" t="s">
        <v>507</v>
      </c>
      <c r="J464" s="2" t="s">
        <v>1779</v>
      </c>
      <c r="K464" s="4" t="s">
        <v>509</v>
      </c>
      <c r="L464" s="2" t="s">
        <v>510</v>
      </c>
      <c r="M464" s="4" t="s">
        <v>58</v>
      </c>
      <c r="N464" s="2" t="s">
        <v>1780</v>
      </c>
      <c r="O464" s="2" t="s">
        <v>60</v>
      </c>
      <c r="P464" s="2" t="s">
        <v>80</v>
      </c>
      <c r="Q464" s="2" t="s">
        <v>1781</v>
      </c>
      <c r="R464" s="4" t="s">
        <v>30</v>
      </c>
      <c r="S464" s="5" t="n">
        <v>10607</v>
      </c>
      <c r="T464" s="2" t="s">
        <v>407</v>
      </c>
    </row>
    <row r="465" customFormat="false" ht="15" hidden="false" customHeight="false" outlineLevel="0" collapsed="false">
      <c r="A465" s="2" t="s">
        <v>1782</v>
      </c>
      <c r="B465" s="3" t="n">
        <v>46088</v>
      </c>
      <c r="C465" s="3" t="n">
        <v>46088</v>
      </c>
      <c r="D465" s="2" t="s">
        <v>21</v>
      </c>
      <c r="E465" s="4" t="s">
        <v>33</v>
      </c>
      <c r="F465" s="5" t="n">
        <v>12000</v>
      </c>
      <c r="G465" s="6" t="n">
        <f aca="false">G464+IF(E465="Credit",F465,IF(E465="Debit",-F465,0))</f>
        <v>10738303</v>
      </c>
      <c r="H465" s="4" t="s">
        <v>64</v>
      </c>
      <c r="I465" s="2" t="s">
        <v>83</v>
      </c>
      <c r="J465" s="2" t="s">
        <v>1783</v>
      </c>
      <c r="K465" s="4" t="s">
        <v>85</v>
      </c>
      <c r="L465" s="2" t="s">
        <v>86</v>
      </c>
      <c r="M465" s="4" t="s">
        <v>38</v>
      </c>
      <c r="N465" s="2" t="s">
        <v>1784</v>
      </c>
      <c r="O465" s="2" t="s">
        <v>88</v>
      </c>
      <c r="P465" s="2" t="s">
        <v>89</v>
      </c>
      <c r="Q465" s="2"/>
      <c r="R465" s="4" t="s">
        <v>30</v>
      </c>
      <c r="S465" s="5" t="n">
        <v>0</v>
      </c>
      <c r="T465" s="2"/>
    </row>
    <row r="466" customFormat="false" ht="15" hidden="false" customHeight="false" outlineLevel="0" collapsed="false">
      <c r="A466" s="2" t="s">
        <v>1785</v>
      </c>
      <c r="B466" s="3" t="n">
        <v>46088</v>
      </c>
      <c r="C466" s="3" t="n">
        <v>46088</v>
      </c>
      <c r="D466" s="2" t="s">
        <v>21</v>
      </c>
      <c r="E466" s="4" t="s">
        <v>33</v>
      </c>
      <c r="F466" s="5" t="n">
        <v>540</v>
      </c>
      <c r="G466" s="6" t="n">
        <f aca="false">G465+IF(E466="Credit",F466,IF(E466="Debit",-F466,0))</f>
        <v>10737763</v>
      </c>
      <c r="H466" s="4" t="s">
        <v>53</v>
      </c>
      <c r="I466" s="2" t="s">
        <v>93</v>
      </c>
      <c r="J466" s="2" t="s">
        <v>94</v>
      </c>
      <c r="K466" s="4" t="s">
        <v>67</v>
      </c>
      <c r="L466" s="2" t="s">
        <v>68</v>
      </c>
      <c r="M466" s="4" t="s">
        <v>69</v>
      </c>
      <c r="N466" s="2" t="s">
        <v>1786</v>
      </c>
      <c r="O466" s="2" t="s">
        <v>96</v>
      </c>
      <c r="P466" s="2" t="s">
        <v>97</v>
      </c>
      <c r="Q466" s="2"/>
      <c r="R466" s="4" t="s">
        <v>30</v>
      </c>
      <c r="S466" s="5" t="n">
        <v>0</v>
      </c>
      <c r="T466" s="2"/>
    </row>
    <row r="467" customFormat="false" ht="15" hidden="false" customHeight="false" outlineLevel="0" collapsed="false">
      <c r="A467" s="2" t="s">
        <v>1787</v>
      </c>
      <c r="B467" s="3" t="n">
        <v>46089</v>
      </c>
      <c r="C467" s="3" t="n">
        <v>46089</v>
      </c>
      <c r="D467" s="2" t="s">
        <v>21</v>
      </c>
      <c r="E467" s="4" t="s">
        <v>52</v>
      </c>
      <c r="F467" s="5" t="n">
        <v>128000</v>
      </c>
      <c r="G467" s="6" t="n">
        <f aca="false">G466+IF(E467="Credit",F467,IF(E467="Debit",-F467,0))</f>
        <v>10865763</v>
      </c>
      <c r="H467" s="4" t="s">
        <v>99</v>
      </c>
      <c r="I467" s="2" t="s">
        <v>1207</v>
      </c>
      <c r="J467" s="2" t="s">
        <v>1788</v>
      </c>
      <c r="K467" s="4" t="s">
        <v>1136</v>
      </c>
      <c r="L467" s="2" t="s">
        <v>1137</v>
      </c>
      <c r="M467" s="4" t="s">
        <v>58</v>
      </c>
      <c r="N467" s="2" t="s">
        <v>1789</v>
      </c>
      <c r="O467" s="2" t="s">
        <v>60</v>
      </c>
      <c r="P467" s="2" t="s">
        <v>967</v>
      </c>
      <c r="Q467" s="2" t="s">
        <v>1790</v>
      </c>
      <c r="R467" s="4" t="s">
        <v>30</v>
      </c>
      <c r="S467" s="5" t="n">
        <v>28000</v>
      </c>
      <c r="T467" s="2"/>
    </row>
    <row r="468" customFormat="false" ht="15" hidden="false" customHeight="false" outlineLevel="0" collapsed="false">
      <c r="A468" s="2" t="s">
        <v>1791</v>
      </c>
      <c r="B468" s="3" t="n">
        <v>46090</v>
      </c>
      <c r="C468" s="3" t="n">
        <v>46090</v>
      </c>
      <c r="D468" s="2" t="s">
        <v>21</v>
      </c>
      <c r="E468" s="4" t="s">
        <v>33</v>
      </c>
      <c r="F468" s="5" t="n">
        <v>3100</v>
      </c>
      <c r="G468" s="6" t="n">
        <f aca="false">G467+IF(E468="Credit",F468,IF(E468="Debit",-F468,0))</f>
        <v>10862663</v>
      </c>
      <c r="H468" s="4" t="s">
        <v>99</v>
      </c>
      <c r="I468" s="2" t="s">
        <v>991</v>
      </c>
      <c r="J468" s="2" t="s">
        <v>1792</v>
      </c>
      <c r="K468" s="4" t="s">
        <v>993</v>
      </c>
      <c r="L468" s="2" t="s">
        <v>994</v>
      </c>
      <c r="M468" s="4" t="s">
        <v>38</v>
      </c>
      <c r="N468" s="2" t="s">
        <v>1793</v>
      </c>
      <c r="O468" s="2" t="s">
        <v>160</v>
      </c>
      <c r="P468" s="2" t="s">
        <v>996</v>
      </c>
      <c r="Q468" s="2" t="s">
        <v>1794</v>
      </c>
      <c r="R468" s="4" t="s">
        <v>30</v>
      </c>
      <c r="S468" s="5" t="n">
        <v>473</v>
      </c>
      <c r="T468" s="2" t="s">
        <v>188</v>
      </c>
    </row>
    <row r="469" customFormat="false" ht="15" hidden="false" customHeight="false" outlineLevel="0" collapsed="false">
      <c r="A469" s="2" t="s">
        <v>1795</v>
      </c>
      <c r="B469" s="3" t="n">
        <v>46091</v>
      </c>
      <c r="C469" s="3" t="n">
        <v>46091</v>
      </c>
      <c r="D469" s="2" t="s">
        <v>21</v>
      </c>
      <c r="E469" s="4" t="s">
        <v>33</v>
      </c>
      <c r="F469" s="5" t="n">
        <v>37800</v>
      </c>
      <c r="G469" s="6" t="n">
        <f aca="false">G468+IF(E469="Credit",F469,IF(E469="Debit",-F469,0))</f>
        <v>10824863</v>
      </c>
      <c r="H469" s="4" t="s">
        <v>74</v>
      </c>
      <c r="I469" s="2" t="s">
        <v>1796</v>
      </c>
      <c r="J469" s="2" t="s">
        <v>1797</v>
      </c>
      <c r="K469" s="4" t="s">
        <v>183</v>
      </c>
      <c r="L469" s="2" t="s">
        <v>184</v>
      </c>
      <c r="M469" s="4" t="s">
        <v>167</v>
      </c>
      <c r="N469" s="2" t="s">
        <v>1798</v>
      </c>
      <c r="O469" s="2" t="s">
        <v>160</v>
      </c>
      <c r="P469" s="2" t="s">
        <v>1530</v>
      </c>
      <c r="Q469" s="2" t="s">
        <v>1799</v>
      </c>
      <c r="R469" s="4" t="s">
        <v>30</v>
      </c>
      <c r="S469" s="5" t="n">
        <v>1800</v>
      </c>
      <c r="T469" s="2"/>
    </row>
    <row r="470" customFormat="false" ht="15" hidden="false" customHeight="false" outlineLevel="0" collapsed="false">
      <c r="A470" s="2" t="s">
        <v>1800</v>
      </c>
      <c r="B470" s="3" t="n">
        <v>46091</v>
      </c>
      <c r="C470" s="3" t="n">
        <v>46091</v>
      </c>
      <c r="D470" s="2" t="s">
        <v>21</v>
      </c>
      <c r="E470" s="4" t="s">
        <v>33</v>
      </c>
      <c r="F470" s="5" t="n">
        <v>81300</v>
      </c>
      <c r="G470" s="6" t="n">
        <f aca="false">G469+IF(E470="Credit",F470,IF(E470="Debit",-F470,0))</f>
        <v>10743563</v>
      </c>
      <c r="H470" s="4" t="s">
        <v>115</v>
      </c>
      <c r="I470" s="2" t="s">
        <v>116</v>
      </c>
      <c r="J470" s="2" t="s">
        <v>1801</v>
      </c>
      <c r="K470" s="4" t="s">
        <v>118</v>
      </c>
      <c r="L470" s="2" t="s">
        <v>119</v>
      </c>
      <c r="M470" s="4" t="s">
        <v>38</v>
      </c>
      <c r="N470" s="2" t="s">
        <v>1802</v>
      </c>
      <c r="O470" s="2" t="s">
        <v>121</v>
      </c>
      <c r="P470" s="2" t="s">
        <v>122</v>
      </c>
      <c r="Q470" s="2"/>
      <c r="R470" s="4" t="s">
        <v>30</v>
      </c>
      <c r="S470" s="5" t="n">
        <v>0</v>
      </c>
      <c r="T470" s="2"/>
    </row>
    <row r="471" customFormat="false" ht="15" hidden="false" customHeight="false" outlineLevel="0" collapsed="false">
      <c r="A471" s="2" t="s">
        <v>1803</v>
      </c>
      <c r="B471" s="3" t="n">
        <v>46093</v>
      </c>
      <c r="C471" s="3" t="n">
        <v>46093</v>
      </c>
      <c r="D471" s="2" t="s">
        <v>21</v>
      </c>
      <c r="E471" s="4" t="s">
        <v>33</v>
      </c>
      <c r="F471" s="5" t="n">
        <v>29500</v>
      </c>
      <c r="G471" s="6" t="n">
        <f aca="false">G470+IF(E471="Credit",F471,IF(E471="Debit",-F471,0))</f>
        <v>10714063</v>
      </c>
      <c r="H471" s="4" t="s">
        <v>99</v>
      </c>
      <c r="I471" s="2" t="s">
        <v>1804</v>
      </c>
      <c r="J471" s="2" t="s">
        <v>1805</v>
      </c>
      <c r="K471" s="4" t="s">
        <v>133</v>
      </c>
      <c r="L471" s="2" t="s">
        <v>134</v>
      </c>
      <c r="M471" s="4" t="s">
        <v>38</v>
      </c>
      <c r="N471" s="2" t="s">
        <v>1806</v>
      </c>
      <c r="O471" s="2" t="s">
        <v>160</v>
      </c>
      <c r="P471" s="2" t="s">
        <v>1807</v>
      </c>
      <c r="Q471" s="2" t="s">
        <v>1808</v>
      </c>
      <c r="R471" s="4" t="s">
        <v>30</v>
      </c>
      <c r="S471" s="5" t="n">
        <v>4500</v>
      </c>
      <c r="T471" s="2"/>
    </row>
    <row r="472" customFormat="false" ht="15" hidden="false" customHeight="false" outlineLevel="0" collapsed="false">
      <c r="A472" s="2" t="s">
        <v>1809</v>
      </c>
      <c r="B472" s="3" t="n">
        <v>46094</v>
      </c>
      <c r="C472" s="3" t="n">
        <v>46094</v>
      </c>
      <c r="D472" s="2" t="s">
        <v>21</v>
      </c>
      <c r="E472" s="4" t="s">
        <v>33</v>
      </c>
      <c r="F472" s="5" t="n">
        <v>14160</v>
      </c>
      <c r="G472" s="6" t="n">
        <f aca="false">G471+IF(E472="Credit",F472,IF(E472="Debit",-F472,0))</f>
        <v>10699903</v>
      </c>
      <c r="H472" s="4" t="s">
        <v>685</v>
      </c>
      <c r="I472" s="2" t="s">
        <v>1810</v>
      </c>
      <c r="J472" s="2" t="s">
        <v>1811</v>
      </c>
      <c r="K472" s="4" t="s">
        <v>549</v>
      </c>
      <c r="L472" s="2" t="s">
        <v>550</v>
      </c>
      <c r="M472" s="4" t="s">
        <v>38</v>
      </c>
      <c r="N472" s="2" t="s">
        <v>1812</v>
      </c>
      <c r="O472" s="2" t="s">
        <v>160</v>
      </c>
      <c r="P472" s="2" t="s">
        <v>1813</v>
      </c>
      <c r="Q472" s="2" t="s">
        <v>1814</v>
      </c>
      <c r="R472" s="4" t="s">
        <v>30</v>
      </c>
      <c r="S472" s="5" t="n">
        <v>2160</v>
      </c>
      <c r="T472" s="2"/>
    </row>
    <row r="473" customFormat="false" ht="15" hidden="false" customHeight="false" outlineLevel="0" collapsed="false">
      <c r="A473" s="2" t="s">
        <v>1815</v>
      </c>
      <c r="B473" s="3" t="n">
        <v>46095</v>
      </c>
      <c r="C473" s="3" t="n">
        <v>46095</v>
      </c>
      <c r="D473" s="2" t="s">
        <v>21</v>
      </c>
      <c r="E473" s="4" t="s">
        <v>33</v>
      </c>
      <c r="F473" s="5" t="n">
        <v>31900</v>
      </c>
      <c r="G473" s="6" t="n">
        <f aca="false">G472+IF(E473="Credit",F473,IF(E473="Debit",-F473,0))</f>
        <v>10668003</v>
      </c>
      <c r="H473" s="4" t="s">
        <v>99</v>
      </c>
      <c r="I473" s="2" t="s">
        <v>139</v>
      </c>
      <c r="J473" s="2" t="s">
        <v>1816</v>
      </c>
      <c r="K473" s="4" t="s">
        <v>141</v>
      </c>
      <c r="L473" s="2" t="s">
        <v>142</v>
      </c>
      <c r="M473" s="4" t="s">
        <v>143</v>
      </c>
      <c r="N473" s="2" t="s">
        <v>1817</v>
      </c>
      <c r="O473" s="2" t="s">
        <v>145</v>
      </c>
      <c r="P473" s="2" t="s">
        <v>146</v>
      </c>
      <c r="Q473" s="2"/>
      <c r="R473" s="4" t="s">
        <v>30</v>
      </c>
      <c r="S473" s="5" t="n">
        <v>0</v>
      </c>
      <c r="T473" s="2"/>
    </row>
    <row r="474" customFormat="false" ht="15" hidden="false" customHeight="false" outlineLevel="0" collapsed="false">
      <c r="A474" s="2" t="s">
        <v>1818</v>
      </c>
      <c r="B474" s="3" t="n">
        <v>46096</v>
      </c>
      <c r="C474" s="3" t="n">
        <v>46096</v>
      </c>
      <c r="D474" s="2" t="s">
        <v>21</v>
      </c>
      <c r="E474" s="4" t="s">
        <v>52</v>
      </c>
      <c r="F474" s="5" t="n">
        <v>255000</v>
      </c>
      <c r="G474" s="6" t="n">
        <f aca="false">G473+IF(E474="Credit",F474,IF(E474="Debit",-F474,0))</f>
        <v>10923003</v>
      </c>
      <c r="H474" s="4" t="s">
        <v>74</v>
      </c>
      <c r="I474" s="2" t="s">
        <v>1212</v>
      </c>
      <c r="J474" s="2" t="s">
        <v>1819</v>
      </c>
      <c r="K474" s="4" t="s">
        <v>533</v>
      </c>
      <c r="L474" s="2" t="s">
        <v>534</v>
      </c>
      <c r="M474" s="4" t="s">
        <v>58</v>
      </c>
      <c r="N474" s="2" t="s">
        <v>1820</v>
      </c>
      <c r="O474" s="2" t="s">
        <v>60</v>
      </c>
      <c r="P474" s="2" t="s">
        <v>195</v>
      </c>
      <c r="Q474" s="2" t="s">
        <v>1821</v>
      </c>
      <c r="R474" s="4" t="s">
        <v>30</v>
      </c>
      <c r="S474" s="5" t="n">
        <v>38898</v>
      </c>
      <c r="T474" s="2" t="s">
        <v>407</v>
      </c>
    </row>
    <row r="475" customFormat="false" ht="15" hidden="false" customHeight="false" outlineLevel="0" collapsed="false">
      <c r="A475" s="2" t="s">
        <v>1822</v>
      </c>
      <c r="B475" s="3" t="n">
        <v>46096</v>
      </c>
      <c r="C475" s="3" t="n">
        <v>46096</v>
      </c>
      <c r="D475" s="2" t="s">
        <v>21</v>
      </c>
      <c r="E475" s="4" t="s">
        <v>52</v>
      </c>
      <c r="F475" s="5" t="n">
        <v>236000</v>
      </c>
      <c r="G475" s="6" t="n">
        <f aca="false">G474+IF(E475="Credit",F475,IF(E475="Debit",-F475,0))</f>
        <v>11159003</v>
      </c>
      <c r="H475" s="4" t="s">
        <v>99</v>
      </c>
      <c r="I475" s="2" t="s">
        <v>1823</v>
      </c>
      <c r="J475" s="2" t="s">
        <v>1824</v>
      </c>
      <c r="K475" s="4" t="s">
        <v>201</v>
      </c>
      <c r="L475" s="2" t="s">
        <v>202</v>
      </c>
      <c r="M475" s="4" t="s">
        <v>58</v>
      </c>
      <c r="N475" s="2" t="s">
        <v>1825</v>
      </c>
      <c r="O475" s="2" t="s">
        <v>60</v>
      </c>
      <c r="P475" s="2" t="s">
        <v>80</v>
      </c>
      <c r="Q475" s="2" t="s">
        <v>1826</v>
      </c>
      <c r="R475" s="4" t="s">
        <v>30</v>
      </c>
      <c r="S475" s="5" t="n">
        <v>36000</v>
      </c>
      <c r="T475" s="2"/>
    </row>
    <row r="476" customFormat="false" ht="15" hidden="false" customHeight="false" outlineLevel="0" collapsed="false">
      <c r="A476" s="2" t="s">
        <v>1827</v>
      </c>
      <c r="B476" s="3" t="n">
        <v>46096</v>
      </c>
      <c r="C476" s="3" t="n">
        <v>46096</v>
      </c>
      <c r="D476" s="2" t="s">
        <v>21</v>
      </c>
      <c r="E476" s="4" t="s">
        <v>33</v>
      </c>
      <c r="F476" s="5" t="n">
        <v>32430</v>
      </c>
      <c r="G476" s="6" t="n">
        <f aca="false">G475+IF(E476="Credit",F476,IF(E476="Debit",-F476,0))</f>
        <v>11126573</v>
      </c>
      <c r="H476" s="4" t="s">
        <v>64</v>
      </c>
      <c r="I476" s="2" t="s">
        <v>148</v>
      </c>
      <c r="J476" s="2" t="s">
        <v>1828</v>
      </c>
      <c r="K476" s="4" t="s">
        <v>150</v>
      </c>
      <c r="L476" s="2" t="s">
        <v>151</v>
      </c>
      <c r="M476" s="4" t="s">
        <v>38</v>
      </c>
      <c r="N476" s="2" t="s">
        <v>1829</v>
      </c>
      <c r="O476" s="2" t="s">
        <v>88</v>
      </c>
      <c r="P476" s="2" t="s">
        <v>153</v>
      </c>
      <c r="Q476" s="2"/>
      <c r="R476" s="4" t="s">
        <v>30</v>
      </c>
      <c r="S476" s="5" t="n">
        <v>0</v>
      </c>
      <c r="T476" s="2"/>
    </row>
    <row r="477" customFormat="false" ht="15" hidden="false" customHeight="false" outlineLevel="0" collapsed="false">
      <c r="A477" s="2" t="s">
        <v>1830</v>
      </c>
      <c r="B477" s="3" t="n">
        <v>46096</v>
      </c>
      <c r="C477" s="3" t="n">
        <v>46096</v>
      </c>
      <c r="D477" s="2" t="s">
        <v>21</v>
      </c>
      <c r="E477" s="4" t="s">
        <v>33</v>
      </c>
      <c r="F477" s="5" t="n">
        <v>90000</v>
      </c>
      <c r="G477" s="6" t="n">
        <f aca="false">G476+IF(E477="Credit",F477,IF(E477="Debit",-F477,0))</f>
        <v>11036573</v>
      </c>
      <c r="H477" s="4" t="s">
        <v>99</v>
      </c>
      <c r="I477" s="2" t="s">
        <v>500</v>
      </c>
      <c r="J477" s="2" t="s">
        <v>1831</v>
      </c>
      <c r="K477" s="4" t="s">
        <v>502</v>
      </c>
      <c r="L477" s="2" t="s">
        <v>503</v>
      </c>
      <c r="M477" s="4" t="s">
        <v>143</v>
      </c>
      <c r="N477" s="2" t="s">
        <v>1832</v>
      </c>
      <c r="O477" s="2" t="s">
        <v>177</v>
      </c>
      <c r="P477" s="2" t="s">
        <v>505</v>
      </c>
      <c r="Q477" s="2"/>
      <c r="R477" s="4" t="s">
        <v>30</v>
      </c>
      <c r="S477" s="5" t="n">
        <v>0</v>
      </c>
      <c r="T477" s="2"/>
    </row>
    <row r="478" customFormat="false" ht="15" hidden="false" customHeight="false" outlineLevel="0" collapsed="false">
      <c r="A478" s="2" t="s">
        <v>1833</v>
      </c>
      <c r="B478" s="3" t="n">
        <v>46097</v>
      </c>
      <c r="C478" s="3" t="n">
        <v>46097</v>
      </c>
      <c r="D478" s="2" t="s">
        <v>21</v>
      </c>
      <c r="E478" s="4" t="s">
        <v>52</v>
      </c>
      <c r="F478" s="5" t="n">
        <v>43700</v>
      </c>
      <c r="G478" s="6" t="n">
        <f aca="false">G477+IF(E478="Credit",F478,IF(E478="Debit",-F478,0))</f>
        <v>11080273</v>
      </c>
      <c r="H478" s="4" t="s">
        <v>53</v>
      </c>
      <c r="I478" s="2" t="s">
        <v>1834</v>
      </c>
      <c r="J478" s="2" t="s">
        <v>1835</v>
      </c>
      <c r="K478" s="4" t="s">
        <v>1836</v>
      </c>
      <c r="L478" s="2" t="s">
        <v>1837</v>
      </c>
      <c r="M478" s="4" t="s">
        <v>58</v>
      </c>
      <c r="N478" s="2" t="s">
        <v>1838</v>
      </c>
      <c r="O478" s="2" t="s">
        <v>60</v>
      </c>
      <c r="P478" s="2" t="s">
        <v>204</v>
      </c>
      <c r="Q478" s="2" t="s">
        <v>1839</v>
      </c>
      <c r="R478" s="4" t="s">
        <v>30</v>
      </c>
      <c r="S478" s="5" t="n">
        <v>6666</v>
      </c>
      <c r="T478" s="2" t="s">
        <v>407</v>
      </c>
    </row>
    <row r="479" customFormat="false" ht="15" hidden="false" customHeight="false" outlineLevel="0" collapsed="false">
      <c r="A479" s="2" t="s">
        <v>1840</v>
      </c>
      <c r="B479" s="3" t="n">
        <v>46098</v>
      </c>
      <c r="C479" s="3" t="n">
        <v>46098</v>
      </c>
      <c r="D479" s="2" t="s">
        <v>21</v>
      </c>
      <c r="E479" s="4" t="s">
        <v>52</v>
      </c>
      <c r="F479" s="5" t="n">
        <v>49300</v>
      </c>
      <c r="G479" s="6" t="n">
        <f aca="false">G478+IF(E479="Credit",F479,IF(E479="Debit",-F479,0))</f>
        <v>11129573</v>
      </c>
      <c r="H479" s="4" t="s">
        <v>74</v>
      </c>
      <c r="I479" s="2" t="s">
        <v>1841</v>
      </c>
      <c r="J479" s="2" t="s">
        <v>1842</v>
      </c>
      <c r="K479" s="4" t="s">
        <v>192</v>
      </c>
      <c r="L479" s="2" t="s">
        <v>193</v>
      </c>
      <c r="M479" s="4" t="s">
        <v>58</v>
      </c>
      <c r="N479" s="2" t="s">
        <v>1843</v>
      </c>
      <c r="O479" s="2" t="s">
        <v>60</v>
      </c>
      <c r="P479" s="2" t="s">
        <v>195</v>
      </c>
      <c r="Q479" s="2" t="s">
        <v>1844</v>
      </c>
      <c r="R479" s="4" t="s">
        <v>30</v>
      </c>
      <c r="S479" s="5" t="n">
        <v>7520</v>
      </c>
      <c r="T479" s="2" t="s">
        <v>407</v>
      </c>
    </row>
    <row r="480" customFormat="false" ht="15" hidden="false" customHeight="false" outlineLevel="0" collapsed="false">
      <c r="A480" s="2" t="s">
        <v>1845</v>
      </c>
      <c r="B480" s="3" t="n">
        <v>46099</v>
      </c>
      <c r="C480" s="3" t="n">
        <v>46099</v>
      </c>
      <c r="D480" s="2" t="s">
        <v>21</v>
      </c>
      <c r="E480" s="4" t="s">
        <v>33</v>
      </c>
      <c r="F480" s="5" t="n">
        <v>19600</v>
      </c>
      <c r="G480" s="6" t="n">
        <f aca="false">G479+IF(E480="Credit",F480,IF(E480="Debit",-F480,0))</f>
        <v>11109973</v>
      </c>
      <c r="H480" s="4" t="s">
        <v>99</v>
      </c>
      <c r="I480" s="2" t="s">
        <v>1382</v>
      </c>
      <c r="J480" s="2" t="s">
        <v>1846</v>
      </c>
      <c r="K480" s="4" t="s">
        <v>1384</v>
      </c>
      <c r="L480" s="2" t="s">
        <v>1385</v>
      </c>
      <c r="M480" s="4" t="s">
        <v>167</v>
      </c>
      <c r="N480" s="2" t="s">
        <v>1847</v>
      </c>
      <c r="O480" s="2" t="s">
        <v>160</v>
      </c>
      <c r="P480" s="2" t="s">
        <v>1387</v>
      </c>
      <c r="Q480" s="2" t="s">
        <v>1848</v>
      </c>
      <c r="R480" s="4" t="s">
        <v>30</v>
      </c>
      <c r="S480" s="5" t="n">
        <v>2100</v>
      </c>
      <c r="T480" s="2" t="s">
        <v>1849</v>
      </c>
    </row>
    <row r="481" customFormat="false" ht="15" hidden="false" customHeight="false" outlineLevel="0" collapsed="false">
      <c r="A481" s="2" t="s">
        <v>1850</v>
      </c>
      <c r="B481" s="3" t="n">
        <v>46099</v>
      </c>
      <c r="C481" s="3" t="n">
        <v>46099</v>
      </c>
      <c r="D481" s="2" t="s">
        <v>21</v>
      </c>
      <c r="E481" s="4" t="s">
        <v>33</v>
      </c>
      <c r="F481" s="5" t="n">
        <v>1000</v>
      </c>
      <c r="G481" s="6" t="n">
        <f aca="false">G480+IF(E481="Credit",F481,IF(E481="Debit",-F481,0))</f>
        <v>11108973</v>
      </c>
      <c r="H481" s="4" t="s">
        <v>53</v>
      </c>
      <c r="I481" s="2" t="s">
        <v>214</v>
      </c>
      <c r="J481" s="2" t="s">
        <v>1851</v>
      </c>
      <c r="K481" s="4" t="s">
        <v>67</v>
      </c>
      <c r="L481" s="2" t="s">
        <v>68</v>
      </c>
      <c r="M481" s="4" t="s">
        <v>69</v>
      </c>
      <c r="N481" s="2" t="s">
        <v>1852</v>
      </c>
      <c r="O481" s="2" t="s">
        <v>96</v>
      </c>
      <c r="P481" s="2" t="s">
        <v>217</v>
      </c>
      <c r="Q481" s="2"/>
      <c r="R481" s="4" t="s">
        <v>30</v>
      </c>
      <c r="S481" s="5" t="n">
        <v>0</v>
      </c>
      <c r="T481" s="2"/>
    </row>
    <row r="482" customFormat="false" ht="15" hidden="false" customHeight="false" outlineLevel="0" collapsed="false">
      <c r="A482" s="2" t="s">
        <v>1853</v>
      </c>
      <c r="B482" s="3" t="n">
        <v>46100</v>
      </c>
      <c r="C482" s="3" t="n">
        <v>46100</v>
      </c>
      <c r="D482" s="2" t="s">
        <v>21</v>
      </c>
      <c r="E482" s="4" t="s">
        <v>52</v>
      </c>
      <c r="F482" s="5" t="n">
        <v>224200</v>
      </c>
      <c r="G482" s="6" t="n">
        <f aca="false">G481+IF(E482="Credit",F482,IF(E482="Debit",-F482,0))</f>
        <v>11333173</v>
      </c>
      <c r="H482" s="4" t="s">
        <v>74</v>
      </c>
      <c r="I482" s="2" t="s">
        <v>1841</v>
      </c>
      <c r="J482" s="2" t="s">
        <v>1854</v>
      </c>
      <c r="K482" s="4" t="s">
        <v>192</v>
      </c>
      <c r="L482" s="2" t="s">
        <v>193</v>
      </c>
      <c r="M482" s="4" t="s">
        <v>58</v>
      </c>
      <c r="N482" s="2" t="s">
        <v>1855</v>
      </c>
      <c r="O482" s="2" t="s">
        <v>60</v>
      </c>
      <c r="P482" s="2" t="s">
        <v>967</v>
      </c>
      <c r="Q482" s="2" t="s">
        <v>1856</v>
      </c>
      <c r="R482" s="4" t="s">
        <v>30</v>
      </c>
      <c r="S482" s="5" t="n">
        <v>34200</v>
      </c>
      <c r="T482" s="2"/>
    </row>
    <row r="483" customFormat="false" ht="15" hidden="false" customHeight="false" outlineLevel="0" collapsed="false">
      <c r="A483" s="2" t="s">
        <v>1857</v>
      </c>
      <c r="B483" s="3" t="n">
        <v>46100</v>
      </c>
      <c r="C483" s="3" t="n">
        <v>46102</v>
      </c>
      <c r="D483" s="2" t="s">
        <v>21</v>
      </c>
      <c r="E483" s="4" t="s">
        <v>33</v>
      </c>
      <c r="F483" s="5" t="n">
        <v>88500</v>
      </c>
      <c r="G483" s="6" t="n">
        <f aca="false">G482+IF(E483="Credit",F483,IF(E483="Debit",-F483,0))</f>
        <v>11244673</v>
      </c>
      <c r="H483" s="4" t="s">
        <v>348</v>
      </c>
      <c r="I483" s="2" t="s">
        <v>1858</v>
      </c>
      <c r="J483" s="2" t="s">
        <v>1859</v>
      </c>
      <c r="K483" s="4" t="s">
        <v>295</v>
      </c>
      <c r="L483" s="2" t="s">
        <v>296</v>
      </c>
      <c r="M483" s="4" t="s">
        <v>167</v>
      </c>
      <c r="N483" s="2" t="s">
        <v>1860</v>
      </c>
      <c r="O483" s="2" t="s">
        <v>160</v>
      </c>
      <c r="P483" s="2" t="s">
        <v>298</v>
      </c>
      <c r="Q483" s="2" t="s">
        <v>1861</v>
      </c>
      <c r="R483" s="4" t="s">
        <v>30</v>
      </c>
      <c r="S483" s="5" t="n">
        <v>13500</v>
      </c>
      <c r="T483" s="2" t="s">
        <v>413</v>
      </c>
    </row>
    <row r="484" customFormat="false" ht="15" hidden="false" customHeight="false" outlineLevel="0" collapsed="false">
      <c r="A484" s="2" t="s">
        <v>1862</v>
      </c>
      <c r="B484" s="3" t="n">
        <v>46101</v>
      </c>
      <c r="C484" s="3" t="n">
        <v>46101</v>
      </c>
      <c r="D484" s="2" t="s">
        <v>21</v>
      </c>
      <c r="E484" s="4" t="s">
        <v>52</v>
      </c>
      <c r="F484" s="5" t="n">
        <v>616000</v>
      </c>
      <c r="G484" s="6" t="n">
        <f aca="false">G483+IF(E484="Credit",F484,IF(E484="Debit",-F484,0))</f>
        <v>11860673</v>
      </c>
      <c r="H484" s="4" t="s">
        <v>99</v>
      </c>
      <c r="I484" s="2" t="s">
        <v>1863</v>
      </c>
      <c r="J484" s="2" t="s">
        <v>1864</v>
      </c>
      <c r="K484" s="4" t="s">
        <v>1865</v>
      </c>
      <c r="L484" s="2" t="s">
        <v>1866</v>
      </c>
      <c r="M484" s="4" t="s">
        <v>58</v>
      </c>
      <c r="N484" s="2" t="s">
        <v>1867</v>
      </c>
      <c r="O484" s="2" t="s">
        <v>60</v>
      </c>
      <c r="P484" s="2" t="s">
        <v>935</v>
      </c>
      <c r="Q484" s="2" t="s">
        <v>1868</v>
      </c>
      <c r="R484" s="4" t="s">
        <v>30</v>
      </c>
      <c r="S484" s="5" t="n">
        <v>66000</v>
      </c>
      <c r="T484" s="2"/>
    </row>
    <row r="485" customFormat="false" ht="15" hidden="false" customHeight="false" outlineLevel="0" collapsed="false">
      <c r="A485" s="2" t="s">
        <v>1869</v>
      </c>
      <c r="B485" s="3" t="n">
        <v>46101</v>
      </c>
      <c r="C485" s="3" t="n">
        <v>46101</v>
      </c>
      <c r="D485" s="2" t="s">
        <v>21</v>
      </c>
      <c r="E485" s="4" t="s">
        <v>33</v>
      </c>
      <c r="F485" s="5" t="n">
        <v>126200</v>
      </c>
      <c r="G485" s="6" t="n">
        <f aca="false">G484+IF(E485="Credit",F485,IF(E485="Debit",-F485,0))</f>
        <v>11734473</v>
      </c>
      <c r="H485" s="4" t="s">
        <v>99</v>
      </c>
      <c r="I485" s="2" t="s">
        <v>172</v>
      </c>
      <c r="J485" s="2" t="s">
        <v>1870</v>
      </c>
      <c r="K485" s="4" t="s">
        <v>174</v>
      </c>
      <c r="L485" s="2" t="s">
        <v>175</v>
      </c>
      <c r="M485" s="4" t="s">
        <v>143</v>
      </c>
      <c r="N485" s="2" t="s">
        <v>1871</v>
      </c>
      <c r="O485" s="2" t="s">
        <v>177</v>
      </c>
      <c r="P485" s="2" t="s">
        <v>178</v>
      </c>
      <c r="Q485" s="2"/>
      <c r="R485" s="4" t="s">
        <v>30</v>
      </c>
      <c r="S485" s="5" t="n">
        <v>0</v>
      </c>
      <c r="T485" s="2"/>
    </row>
    <row r="486" customFormat="false" ht="15" hidden="false" customHeight="false" outlineLevel="0" collapsed="false">
      <c r="A486" s="2" t="s">
        <v>1872</v>
      </c>
      <c r="B486" s="3" t="n">
        <v>46102</v>
      </c>
      <c r="C486" s="3" t="n">
        <v>46103</v>
      </c>
      <c r="D486" s="2" t="s">
        <v>21</v>
      </c>
      <c r="E486" s="4" t="s">
        <v>33</v>
      </c>
      <c r="F486" s="5" t="n">
        <v>21240</v>
      </c>
      <c r="G486" s="6" t="n">
        <f aca="false">G485+IF(E486="Credit",F486,IF(E486="Debit",-F486,0))</f>
        <v>11713233</v>
      </c>
      <c r="H486" s="4" t="s">
        <v>348</v>
      </c>
      <c r="I486" s="2" t="s">
        <v>1873</v>
      </c>
      <c r="J486" s="2" t="s">
        <v>1874</v>
      </c>
      <c r="K486" s="4" t="s">
        <v>1875</v>
      </c>
      <c r="L486" s="2" t="s">
        <v>1876</v>
      </c>
      <c r="M486" s="4" t="s">
        <v>38</v>
      </c>
      <c r="N486" s="2" t="s">
        <v>1877</v>
      </c>
      <c r="O486" s="2" t="s">
        <v>160</v>
      </c>
      <c r="P486" s="2" t="s">
        <v>1878</v>
      </c>
      <c r="Q486" s="2" t="s">
        <v>1879</v>
      </c>
      <c r="R486" s="4" t="s">
        <v>30</v>
      </c>
      <c r="S486" s="5" t="n">
        <v>3240</v>
      </c>
      <c r="T486" s="2"/>
    </row>
    <row r="487" customFormat="false" ht="15" hidden="false" customHeight="false" outlineLevel="0" collapsed="false">
      <c r="A487" s="2" t="s">
        <v>1880</v>
      </c>
      <c r="B487" s="3" t="n">
        <v>46105</v>
      </c>
      <c r="C487" s="3" t="n">
        <v>46105</v>
      </c>
      <c r="D487" s="2" t="s">
        <v>21</v>
      </c>
      <c r="E487" s="4" t="s">
        <v>52</v>
      </c>
      <c r="F487" s="5" t="n">
        <v>266000</v>
      </c>
      <c r="G487" s="6" t="n">
        <f aca="false">G486+IF(E487="Credit",F487,IF(E487="Debit",-F487,0))</f>
        <v>11979233</v>
      </c>
      <c r="H487" s="4" t="s">
        <v>685</v>
      </c>
      <c r="I487" s="2" t="s">
        <v>1881</v>
      </c>
      <c r="J487" s="2" t="s">
        <v>1882</v>
      </c>
      <c r="K487" s="4" t="s">
        <v>1865</v>
      </c>
      <c r="L487" s="2" t="s">
        <v>1866</v>
      </c>
      <c r="M487" s="4" t="s">
        <v>58</v>
      </c>
      <c r="N487" s="2" t="s">
        <v>1883</v>
      </c>
      <c r="O487" s="2" t="s">
        <v>60</v>
      </c>
      <c r="P487" s="2" t="s">
        <v>967</v>
      </c>
      <c r="Q487" s="2" t="s">
        <v>1884</v>
      </c>
      <c r="R487" s="4" t="s">
        <v>30</v>
      </c>
      <c r="S487" s="5" t="n">
        <v>28500</v>
      </c>
      <c r="T487" s="2" t="s">
        <v>413</v>
      </c>
    </row>
    <row r="488" customFormat="false" ht="15" hidden="false" customHeight="false" outlineLevel="0" collapsed="false">
      <c r="A488" s="2" t="s">
        <v>1885</v>
      </c>
      <c r="B488" s="3" t="n">
        <v>46108</v>
      </c>
      <c r="C488" s="3" t="n">
        <v>46108</v>
      </c>
      <c r="D488" s="2" t="s">
        <v>21</v>
      </c>
      <c r="E488" s="4" t="s">
        <v>33</v>
      </c>
      <c r="F488" s="5" t="n">
        <v>46700</v>
      </c>
      <c r="G488" s="6" t="n">
        <f aca="false">G487+IF(E488="Credit",F488,IF(E488="Debit",-F488,0))</f>
        <v>11932533</v>
      </c>
      <c r="H488" s="4" t="s">
        <v>74</v>
      </c>
      <c r="I488" s="2" t="s">
        <v>1886</v>
      </c>
      <c r="J488" s="2" t="s">
        <v>1887</v>
      </c>
      <c r="K488" s="4" t="s">
        <v>465</v>
      </c>
      <c r="L488" s="2" t="s">
        <v>466</v>
      </c>
      <c r="M488" s="4" t="s">
        <v>58</v>
      </c>
      <c r="N488" s="2" t="s">
        <v>1888</v>
      </c>
      <c r="O488" s="2" t="s">
        <v>111</v>
      </c>
      <c r="P488" s="2" t="s">
        <v>112</v>
      </c>
      <c r="Q488" s="2" t="s">
        <v>1770</v>
      </c>
      <c r="R488" s="4" t="s">
        <v>30</v>
      </c>
      <c r="S488" s="5" t="n">
        <v>0</v>
      </c>
      <c r="T488" s="2" t="s">
        <v>1889</v>
      </c>
    </row>
    <row r="489" customFormat="false" ht="15" hidden="false" customHeight="false" outlineLevel="0" collapsed="false">
      <c r="A489" s="2" t="s">
        <v>1890</v>
      </c>
      <c r="B489" s="3" t="n">
        <v>46108</v>
      </c>
      <c r="C489" s="3" t="n">
        <v>46108</v>
      </c>
      <c r="D489" s="2" t="s">
        <v>21</v>
      </c>
      <c r="E489" s="4" t="s">
        <v>52</v>
      </c>
      <c r="F489" s="5" t="n">
        <v>39334</v>
      </c>
      <c r="G489" s="6" t="n">
        <f aca="false">G488+IF(E489="Credit",F489,IF(E489="Debit",-F489,0))</f>
        <v>11971867</v>
      </c>
      <c r="H489" s="4" t="s">
        <v>53</v>
      </c>
      <c r="I489" s="2" t="s">
        <v>1891</v>
      </c>
      <c r="J489" s="2" t="s">
        <v>1892</v>
      </c>
      <c r="K489" s="4" t="s">
        <v>764</v>
      </c>
      <c r="L489" s="2" t="s">
        <v>765</v>
      </c>
      <c r="M489" s="4" t="s">
        <v>58</v>
      </c>
      <c r="N489" s="2" t="s">
        <v>1893</v>
      </c>
      <c r="O489" s="2" t="s">
        <v>60</v>
      </c>
      <c r="P489" s="2" t="s">
        <v>935</v>
      </c>
      <c r="Q489" s="2" t="s">
        <v>1691</v>
      </c>
      <c r="R489" s="4" t="s">
        <v>30</v>
      </c>
      <c r="S489" s="5" t="n">
        <v>6000</v>
      </c>
      <c r="T489" s="2" t="s">
        <v>1894</v>
      </c>
    </row>
    <row r="490" customFormat="false" ht="15" hidden="false" customHeight="false" outlineLevel="0" collapsed="false">
      <c r="A490" s="2" t="s">
        <v>1895</v>
      </c>
      <c r="B490" s="3" t="n">
        <v>46108</v>
      </c>
      <c r="C490" s="3" t="n">
        <v>46108</v>
      </c>
      <c r="D490" s="2" t="s">
        <v>21</v>
      </c>
      <c r="E490" s="4" t="s">
        <v>33</v>
      </c>
      <c r="F490" s="5" t="n">
        <v>9440</v>
      </c>
      <c r="G490" s="6" t="n">
        <f aca="false">G489+IF(E490="Credit",F490,IF(E490="Debit",-F490,0))</f>
        <v>11962427</v>
      </c>
      <c r="H490" s="4" t="s">
        <v>180</v>
      </c>
      <c r="I490" s="2" t="s">
        <v>1896</v>
      </c>
      <c r="J490" s="2" t="s">
        <v>1897</v>
      </c>
      <c r="K490" s="4" t="s">
        <v>1102</v>
      </c>
      <c r="L490" s="2" t="s">
        <v>1103</v>
      </c>
      <c r="M490" s="4" t="s">
        <v>38</v>
      </c>
      <c r="N490" s="2" t="s">
        <v>1898</v>
      </c>
      <c r="O490" s="2" t="s">
        <v>160</v>
      </c>
      <c r="P490" s="2" t="s">
        <v>394</v>
      </c>
      <c r="Q490" s="2" t="s">
        <v>1899</v>
      </c>
      <c r="R490" s="4" t="s">
        <v>30</v>
      </c>
      <c r="S490" s="5" t="n">
        <v>1440</v>
      </c>
      <c r="T490" s="2" t="s">
        <v>413</v>
      </c>
    </row>
    <row r="491" customFormat="false" ht="15" hidden="false" customHeight="false" outlineLevel="0" collapsed="false">
      <c r="A491" s="2" t="s">
        <v>1900</v>
      </c>
      <c r="B491" s="3" t="n">
        <v>46110</v>
      </c>
      <c r="C491" s="3" t="n">
        <v>46112</v>
      </c>
      <c r="D491" s="2" t="s">
        <v>21</v>
      </c>
      <c r="E491" s="4" t="s">
        <v>33</v>
      </c>
      <c r="F491" s="5" t="n">
        <v>8602</v>
      </c>
      <c r="G491" s="6" t="n">
        <f aca="false">G490+IF(E491="Credit",F491,IF(E491="Debit",-F491,0))</f>
        <v>11953825</v>
      </c>
      <c r="H491" s="4" t="s">
        <v>348</v>
      </c>
      <c r="I491" s="2" t="s">
        <v>1901</v>
      </c>
      <c r="J491" s="2" t="s">
        <v>1902</v>
      </c>
      <c r="K491" s="4" t="s">
        <v>118</v>
      </c>
      <c r="L491" s="2" t="s">
        <v>119</v>
      </c>
      <c r="M491" s="4" t="s">
        <v>38</v>
      </c>
      <c r="N491" s="2" t="s">
        <v>1903</v>
      </c>
      <c r="O491" s="2" t="s">
        <v>160</v>
      </c>
      <c r="P491" s="2" t="s">
        <v>1813</v>
      </c>
      <c r="Q491" s="2" t="s">
        <v>1904</v>
      </c>
      <c r="R491" s="4" t="s">
        <v>30</v>
      </c>
      <c r="S491" s="5" t="n">
        <v>922</v>
      </c>
      <c r="T491" s="2" t="s">
        <v>413</v>
      </c>
    </row>
    <row r="492" customFormat="false" ht="15" hidden="false" customHeight="false" outlineLevel="0" collapsed="false">
      <c r="A492" s="2" t="s">
        <v>1905</v>
      </c>
      <c r="B492" s="3" t="n">
        <v>46111</v>
      </c>
      <c r="C492" s="3" t="n">
        <v>46113</v>
      </c>
      <c r="D492" s="2" t="s">
        <v>21</v>
      </c>
      <c r="E492" s="4" t="s">
        <v>33</v>
      </c>
      <c r="F492" s="5" t="n">
        <v>82600</v>
      </c>
      <c r="G492" s="6" t="n">
        <f aca="false">G491+IF(E492="Credit",F492,IF(E492="Debit",-F492,0))</f>
        <v>11871225</v>
      </c>
      <c r="H492" s="4" t="s">
        <v>348</v>
      </c>
      <c r="I492" s="2" t="s">
        <v>1906</v>
      </c>
      <c r="J492" s="2" t="s">
        <v>1907</v>
      </c>
      <c r="K492" s="4" t="s">
        <v>993</v>
      </c>
      <c r="L492" s="2" t="s">
        <v>994</v>
      </c>
      <c r="M492" s="4" t="s">
        <v>38</v>
      </c>
      <c r="N492" s="2" t="s">
        <v>1908</v>
      </c>
      <c r="O492" s="2" t="s">
        <v>160</v>
      </c>
      <c r="P492" s="2" t="s">
        <v>996</v>
      </c>
      <c r="Q492" s="2" t="s">
        <v>1909</v>
      </c>
      <c r="R492" s="4" t="s">
        <v>30</v>
      </c>
      <c r="S492" s="5" t="n">
        <v>12600</v>
      </c>
      <c r="T492" s="2" t="s">
        <v>413</v>
      </c>
    </row>
    <row r="493" customFormat="false" ht="15" hidden="false" customHeight="false" outlineLevel="0" collapsed="false">
      <c r="A493" s="2" t="s">
        <v>1910</v>
      </c>
      <c r="B493" s="3" t="n">
        <v>46112</v>
      </c>
      <c r="C493" s="3" t="n">
        <v>46112</v>
      </c>
      <c r="D493" s="2" t="s">
        <v>21</v>
      </c>
      <c r="E493" s="4" t="s">
        <v>52</v>
      </c>
      <c r="F493" s="5" t="n">
        <v>744800</v>
      </c>
      <c r="G493" s="6" t="n">
        <f aca="false">G492+IF(E493="Credit",F493,IF(E493="Debit",-F493,0))</f>
        <v>12616025</v>
      </c>
      <c r="H493" s="4" t="s">
        <v>53</v>
      </c>
      <c r="I493" s="2" t="s">
        <v>1911</v>
      </c>
      <c r="J493" s="2" t="s">
        <v>1912</v>
      </c>
      <c r="K493" s="4" t="s">
        <v>1038</v>
      </c>
      <c r="L493" s="2" t="s">
        <v>1039</v>
      </c>
      <c r="M493" s="4" t="s">
        <v>58</v>
      </c>
      <c r="N493" s="2" t="s">
        <v>1913</v>
      </c>
      <c r="O493" s="2" t="s">
        <v>60</v>
      </c>
      <c r="P493" s="2" t="s">
        <v>405</v>
      </c>
      <c r="Q493" s="2" t="s">
        <v>1914</v>
      </c>
      <c r="R493" s="4" t="s">
        <v>30</v>
      </c>
      <c r="S493" s="5" t="n">
        <v>79800</v>
      </c>
      <c r="T493" s="2" t="s">
        <v>413</v>
      </c>
    </row>
    <row r="494" customFormat="false" ht="15" hidden="false" customHeight="false" outlineLevel="0" collapsed="false">
      <c r="A494" s="2" t="s">
        <v>1915</v>
      </c>
      <c r="B494" s="3" t="n">
        <v>46112</v>
      </c>
      <c r="C494" s="3" t="n">
        <v>46112</v>
      </c>
      <c r="D494" s="2" t="s">
        <v>21</v>
      </c>
      <c r="E494" s="4" t="s">
        <v>52</v>
      </c>
      <c r="F494" s="5" t="n">
        <v>82600</v>
      </c>
      <c r="G494" s="6" t="n">
        <f aca="false">G493+IF(E494="Credit",F494,IF(E494="Debit",-F494,0))</f>
        <v>12698625</v>
      </c>
      <c r="H494" s="4" t="s">
        <v>180</v>
      </c>
      <c r="I494" s="2" t="s">
        <v>1916</v>
      </c>
      <c r="J494" s="2" t="s">
        <v>1917</v>
      </c>
      <c r="K494" s="4" t="s">
        <v>1918</v>
      </c>
      <c r="L494" s="2" t="s">
        <v>1919</v>
      </c>
      <c r="M494" s="4" t="s">
        <v>58</v>
      </c>
      <c r="N494" s="2" t="s">
        <v>1920</v>
      </c>
      <c r="O494" s="2" t="s">
        <v>60</v>
      </c>
      <c r="P494" s="2" t="s">
        <v>80</v>
      </c>
      <c r="Q494" s="2" t="s">
        <v>1921</v>
      </c>
      <c r="R494" s="4" t="s">
        <v>30</v>
      </c>
      <c r="S494" s="5" t="n">
        <v>12600</v>
      </c>
      <c r="T494" s="2" t="s">
        <v>413</v>
      </c>
    </row>
    <row r="495" customFormat="false" ht="15" hidden="false" customHeight="false" outlineLevel="0" collapsed="false">
      <c r="A495" s="2" t="s">
        <v>1922</v>
      </c>
      <c r="B495" s="3" t="n">
        <v>46112</v>
      </c>
      <c r="C495" s="3" t="n">
        <v>46112</v>
      </c>
      <c r="D495" s="2" t="s">
        <v>21</v>
      </c>
      <c r="E495" s="4" t="s">
        <v>33</v>
      </c>
      <c r="F495" s="5" t="n">
        <v>3300</v>
      </c>
      <c r="G495" s="6" t="n">
        <f aca="false">G494+IF(E495="Credit",F495,IF(E495="Debit",-F495,0))</f>
        <v>12695325</v>
      </c>
      <c r="H495" s="4" t="s">
        <v>53</v>
      </c>
      <c r="I495" s="2" t="s">
        <v>389</v>
      </c>
      <c r="J495" s="2" t="s">
        <v>1923</v>
      </c>
      <c r="K495" s="4" t="s">
        <v>391</v>
      </c>
      <c r="L495" s="2" t="s">
        <v>392</v>
      </c>
      <c r="M495" s="4" t="s">
        <v>38</v>
      </c>
      <c r="N495" s="2" t="s">
        <v>1924</v>
      </c>
      <c r="O495" s="2" t="s">
        <v>160</v>
      </c>
      <c r="P495" s="2" t="s">
        <v>394</v>
      </c>
      <c r="Q495" s="2" t="s">
        <v>1925</v>
      </c>
      <c r="R495" s="4" t="s">
        <v>30</v>
      </c>
      <c r="S495" s="5" t="n">
        <v>354</v>
      </c>
      <c r="T495" s="2" t="s">
        <v>188</v>
      </c>
    </row>
    <row r="496" customFormat="false" ht="15" hidden="false" customHeight="false" outlineLevel="0" collapsed="false">
      <c r="A496" s="2" t="s">
        <v>1926</v>
      </c>
      <c r="B496" s="3" t="n">
        <v>46112</v>
      </c>
      <c r="C496" s="3" t="n">
        <v>46112</v>
      </c>
      <c r="D496" s="2" t="s">
        <v>21</v>
      </c>
      <c r="E496" s="4" t="s">
        <v>33</v>
      </c>
      <c r="F496" s="5" t="n">
        <v>19600</v>
      </c>
      <c r="G496" s="6" t="n">
        <f aca="false">G495+IF(E496="Credit",F496,IF(E496="Debit",-F496,0))</f>
        <v>12675725</v>
      </c>
      <c r="H496" s="4" t="s">
        <v>180</v>
      </c>
      <c r="I496" s="2" t="s">
        <v>1927</v>
      </c>
      <c r="J496" s="2" t="s">
        <v>1928</v>
      </c>
      <c r="K496" s="4" t="s">
        <v>1384</v>
      </c>
      <c r="L496" s="2" t="s">
        <v>1385</v>
      </c>
      <c r="M496" s="4" t="s">
        <v>167</v>
      </c>
      <c r="N496" s="2" t="s">
        <v>1929</v>
      </c>
      <c r="O496" s="2" t="s">
        <v>160</v>
      </c>
      <c r="P496" s="2" t="s">
        <v>1387</v>
      </c>
      <c r="Q496" s="2" t="s">
        <v>1848</v>
      </c>
      <c r="R496" s="4" t="s">
        <v>30</v>
      </c>
      <c r="S496" s="5" t="n">
        <v>2100</v>
      </c>
      <c r="T496" s="2" t="s">
        <v>1930</v>
      </c>
    </row>
  </sheetData>
  <autoFilter ref="A1:T4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3" min="12" style="0" width="13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19" min="17" style="0" width="11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3" min="23" style="0" width="15"/>
    <col collapsed="false" customWidth="true" hidden="false" outlineLevel="0" max="24" min="24" style="0" width="13"/>
    <col collapsed="false" customWidth="true" hidden="false" outlineLevel="0" max="25" min="25" style="0" width="18"/>
    <col collapsed="false" customWidth="true" hidden="false" outlineLevel="0" max="26" min="26" style="0" width="22"/>
    <col collapsed="false" customWidth="true" hidden="false" outlineLevel="0" max="27" min="27" style="0" width="40"/>
  </cols>
  <sheetData>
    <row r="1" customFormat="false" ht="31.5" hidden="false" customHeight="true" outlineLevel="0" collapsed="false">
      <c r="A1" s="1" t="s">
        <v>1931</v>
      </c>
      <c r="B1" s="1" t="s">
        <v>1932</v>
      </c>
      <c r="C1" s="1" t="s">
        <v>1933</v>
      </c>
      <c r="D1" s="1" t="s">
        <v>1934</v>
      </c>
      <c r="E1" s="1" t="s">
        <v>1935</v>
      </c>
      <c r="F1" s="1" t="s">
        <v>10</v>
      </c>
      <c r="G1" s="1" t="s">
        <v>1936</v>
      </c>
      <c r="H1" s="1" t="s">
        <v>12</v>
      </c>
      <c r="I1" s="1" t="s">
        <v>1937</v>
      </c>
      <c r="J1" s="1" t="s">
        <v>1938</v>
      </c>
      <c r="K1" s="1" t="s">
        <v>1939</v>
      </c>
      <c r="L1" s="1" t="s">
        <v>1940</v>
      </c>
      <c r="M1" s="1" t="s">
        <v>1941</v>
      </c>
      <c r="N1" s="1" t="s">
        <v>1942</v>
      </c>
      <c r="O1" s="1" t="s">
        <v>1943</v>
      </c>
      <c r="P1" s="1" t="s">
        <v>1944</v>
      </c>
      <c r="Q1" s="1" t="s">
        <v>1945</v>
      </c>
      <c r="R1" s="1" t="s">
        <v>1946</v>
      </c>
      <c r="S1" s="1" t="s">
        <v>1947</v>
      </c>
      <c r="T1" s="1" t="s">
        <v>1948</v>
      </c>
      <c r="U1" s="1" t="s">
        <v>1949</v>
      </c>
      <c r="V1" s="1" t="s">
        <v>1950</v>
      </c>
      <c r="W1" s="1" t="s">
        <v>17</v>
      </c>
      <c r="X1" s="1" t="s">
        <v>1951</v>
      </c>
      <c r="Y1" s="1" t="s">
        <v>1952</v>
      </c>
      <c r="Z1" s="1" t="s">
        <v>1953</v>
      </c>
      <c r="AA1" s="1" t="s">
        <v>19</v>
      </c>
    </row>
    <row r="2" customFormat="false" ht="15" hidden="false" customHeight="false" outlineLevel="0" collapsed="false">
      <c r="A2" s="2" t="s">
        <v>1954</v>
      </c>
      <c r="B2" s="2" t="s">
        <v>187</v>
      </c>
      <c r="C2" s="3" t="n">
        <v>45753</v>
      </c>
      <c r="D2" s="3" t="n">
        <v>45783</v>
      </c>
      <c r="E2" s="4" t="s">
        <v>1955</v>
      </c>
      <c r="F2" s="2" t="s">
        <v>183</v>
      </c>
      <c r="G2" s="2" t="s">
        <v>184</v>
      </c>
      <c r="H2" s="4" t="s">
        <v>167</v>
      </c>
      <c r="I2" s="2" t="s">
        <v>1956</v>
      </c>
      <c r="J2" s="2" t="s">
        <v>186</v>
      </c>
      <c r="K2" s="4" t="n">
        <v>1</v>
      </c>
      <c r="L2" s="5" t="n">
        <v>25000</v>
      </c>
      <c r="M2" s="6" t="n">
        <f aca="false">K2*L2</f>
        <v>25000</v>
      </c>
      <c r="N2" s="5" t="n">
        <v>1000</v>
      </c>
      <c r="O2" s="6" t="n">
        <f aca="false">M2-N2</f>
        <v>24000</v>
      </c>
      <c r="P2" s="7" t="n">
        <v>0.18</v>
      </c>
      <c r="Q2" s="6" t="n">
        <f aca="false">ROUND(O2*P2/2,0)</f>
        <v>2160</v>
      </c>
      <c r="R2" s="6" t="n">
        <f aca="false">ROUND(O2*P2/2,0)</f>
        <v>2160</v>
      </c>
      <c r="S2" s="6" t="n">
        <v>0</v>
      </c>
      <c r="T2" s="6" t="n">
        <f aca="false">O2+Q2+R2+S2</f>
        <v>28320</v>
      </c>
      <c r="U2" s="5" t="n">
        <v>18500</v>
      </c>
      <c r="V2" s="6" t="n">
        <f aca="false">T2-U2</f>
        <v>9820</v>
      </c>
      <c r="W2" s="4" t="s">
        <v>1957</v>
      </c>
      <c r="X2" s="3" t="n">
        <v>45768</v>
      </c>
      <c r="Y2" s="4" t="s">
        <v>180</v>
      </c>
      <c r="Z2" s="2" t="s">
        <v>179</v>
      </c>
      <c r="AA2" s="2"/>
    </row>
    <row r="3" customFormat="false" ht="15" hidden="false" customHeight="false" outlineLevel="0" collapsed="false">
      <c r="A3" s="2" t="s">
        <v>1958</v>
      </c>
      <c r="B3" s="2" t="s">
        <v>325</v>
      </c>
      <c r="C3" s="3" t="n">
        <v>45755</v>
      </c>
      <c r="D3" s="3" t="n">
        <v>45800</v>
      </c>
      <c r="E3" s="4" t="s">
        <v>1955</v>
      </c>
      <c r="F3" s="2" t="s">
        <v>133</v>
      </c>
      <c r="G3" s="2" t="s">
        <v>134</v>
      </c>
      <c r="H3" s="4" t="s">
        <v>38</v>
      </c>
      <c r="I3" s="2" t="s">
        <v>1959</v>
      </c>
      <c r="J3" s="2" t="s">
        <v>324</v>
      </c>
      <c r="K3" s="4" t="n">
        <v>1</v>
      </c>
      <c r="L3" s="5" t="n">
        <v>25000</v>
      </c>
      <c r="M3" s="6" t="n">
        <f aca="false">K3*L3</f>
        <v>25000</v>
      </c>
      <c r="N3" s="5" t="n">
        <v>1000</v>
      </c>
      <c r="O3" s="6" t="n">
        <f aca="false">M3-N3</f>
        <v>24000</v>
      </c>
      <c r="P3" s="7" t="n">
        <v>0.18</v>
      </c>
      <c r="Q3" s="6" t="n">
        <v>0</v>
      </c>
      <c r="R3" s="6" t="n">
        <v>0</v>
      </c>
      <c r="S3" s="6" t="n">
        <f aca="false">ROUND(O3*P3,0)</f>
        <v>4320</v>
      </c>
      <c r="T3" s="6" t="n">
        <f aca="false">O3+Q3+R3+S3</f>
        <v>28320</v>
      </c>
      <c r="U3" s="5" t="n">
        <v>28320</v>
      </c>
      <c r="V3" s="6" t="n">
        <f aca="false">T3-U3</f>
        <v>0</v>
      </c>
      <c r="W3" s="4" t="s">
        <v>1960</v>
      </c>
      <c r="X3" s="3" t="n">
        <v>45783</v>
      </c>
      <c r="Y3" s="4" t="s">
        <v>74</v>
      </c>
      <c r="Z3" s="2" t="s">
        <v>320</v>
      </c>
      <c r="AA3" s="2"/>
    </row>
    <row r="4" customFormat="false" ht="15" hidden="false" customHeight="false" outlineLevel="0" collapsed="false">
      <c r="A4" s="2" t="s">
        <v>1961</v>
      </c>
      <c r="B4" s="2" t="s">
        <v>162</v>
      </c>
      <c r="C4" s="3" t="n">
        <v>45760</v>
      </c>
      <c r="D4" s="3" t="n">
        <v>45790</v>
      </c>
      <c r="E4" s="4" t="s">
        <v>1955</v>
      </c>
      <c r="F4" s="2" t="s">
        <v>157</v>
      </c>
      <c r="G4" s="2" t="s">
        <v>158</v>
      </c>
      <c r="H4" s="4" t="s">
        <v>38</v>
      </c>
      <c r="I4" s="2" t="s">
        <v>1962</v>
      </c>
      <c r="J4" s="2" t="s">
        <v>161</v>
      </c>
      <c r="K4" s="4" t="n">
        <v>2</v>
      </c>
      <c r="L4" s="5" t="n">
        <v>12000</v>
      </c>
      <c r="M4" s="6" t="n">
        <f aca="false">K4*L4</f>
        <v>24000</v>
      </c>
      <c r="N4" s="5" t="n">
        <v>0</v>
      </c>
      <c r="O4" s="6" t="n">
        <f aca="false">M4-N4</f>
        <v>24000</v>
      </c>
      <c r="P4" s="7" t="n">
        <v>0.18</v>
      </c>
      <c r="Q4" s="6" t="n">
        <v>0</v>
      </c>
      <c r="R4" s="6" t="n">
        <v>0</v>
      </c>
      <c r="S4" s="6" t="n">
        <f aca="false">ROUND(O4*P4,0)</f>
        <v>4320</v>
      </c>
      <c r="T4" s="6" t="n">
        <f aca="false">O4+Q4+R4+S4</f>
        <v>28320</v>
      </c>
      <c r="U4" s="5" t="n">
        <v>28320</v>
      </c>
      <c r="V4" s="6" t="n">
        <f aca="false">T4-U4</f>
        <v>0</v>
      </c>
      <c r="W4" s="4" t="s">
        <v>1960</v>
      </c>
      <c r="X4" s="3" t="n">
        <v>45763</v>
      </c>
      <c r="Y4" s="4" t="s">
        <v>99</v>
      </c>
      <c r="Z4" s="2" t="s">
        <v>154</v>
      </c>
      <c r="AA4" s="2"/>
    </row>
    <row r="5" customFormat="false" ht="15" hidden="false" customHeight="false" outlineLevel="0" collapsed="false">
      <c r="A5" s="2" t="s">
        <v>1963</v>
      </c>
      <c r="B5" s="2" t="s">
        <v>308</v>
      </c>
      <c r="C5" s="3" t="n">
        <v>45764</v>
      </c>
      <c r="D5" s="3" t="n">
        <v>45794</v>
      </c>
      <c r="E5" s="4" t="s">
        <v>1955</v>
      </c>
      <c r="F5" s="2" t="s">
        <v>36</v>
      </c>
      <c r="G5" s="2" t="s">
        <v>37</v>
      </c>
      <c r="H5" s="4" t="s">
        <v>38</v>
      </c>
      <c r="I5" s="2" t="s">
        <v>1964</v>
      </c>
      <c r="J5" s="2" t="s">
        <v>307</v>
      </c>
      <c r="K5" s="4" t="n">
        <v>1</v>
      </c>
      <c r="L5" s="5" t="n">
        <v>25000</v>
      </c>
      <c r="M5" s="6" t="n">
        <f aca="false">K5*L5</f>
        <v>25000</v>
      </c>
      <c r="N5" s="5" t="n">
        <v>0</v>
      </c>
      <c r="O5" s="6" t="n">
        <f aca="false">M5-N5</f>
        <v>25000</v>
      </c>
      <c r="P5" s="7" t="n">
        <v>0.18</v>
      </c>
      <c r="Q5" s="6" t="n">
        <f aca="false">ROUND(O5*P5/2,0)</f>
        <v>2250</v>
      </c>
      <c r="R5" s="6" t="n">
        <f aca="false">ROUND(O5*P5/2,0)</f>
        <v>2250</v>
      </c>
      <c r="S5" s="6" t="n">
        <v>0</v>
      </c>
      <c r="T5" s="6" t="n">
        <f aca="false">O5+Q5+R5+S5</f>
        <v>29500</v>
      </c>
      <c r="U5" s="5" t="n">
        <v>29500</v>
      </c>
      <c r="V5" s="6" t="n">
        <f aca="false">T5-U5</f>
        <v>0</v>
      </c>
      <c r="W5" s="4" t="s">
        <v>1960</v>
      </c>
      <c r="X5" s="3" t="n">
        <v>45782</v>
      </c>
      <c r="Y5" s="4" t="s">
        <v>180</v>
      </c>
      <c r="Z5" s="2" t="s">
        <v>303</v>
      </c>
      <c r="AA5" s="2"/>
    </row>
    <row r="6" customFormat="false" ht="15" hidden="false" customHeight="false" outlineLevel="0" collapsed="false">
      <c r="A6" s="2" t="s">
        <v>1965</v>
      </c>
      <c r="B6" s="2" t="s">
        <v>299</v>
      </c>
      <c r="C6" s="3" t="n">
        <v>45776</v>
      </c>
      <c r="D6" s="3" t="n">
        <v>45791</v>
      </c>
      <c r="E6" s="4" t="s">
        <v>1955</v>
      </c>
      <c r="F6" s="2" t="s">
        <v>295</v>
      </c>
      <c r="G6" s="2" t="s">
        <v>296</v>
      </c>
      <c r="H6" s="4" t="s">
        <v>167</v>
      </c>
      <c r="I6" s="2" t="s">
        <v>1966</v>
      </c>
      <c r="J6" s="2" t="s">
        <v>298</v>
      </c>
      <c r="K6" s="4" t="n">
        <v>1</v>
      </c>
      <c r="L6" s="5" t="n">
        <v>35000</v>
      </c>
      <c r="M6" s="6" t="n">
        <f aca="false">K6*L6</f>
        <v>35000</v>
      </c>
      <c r="N6" s="5" t="n">
        <v>0</v>
      </c>
      <c r="O6" s="6" t="n">
        <f aca="false">M6-N6</f>
        <v>35000</v>
      </c>
      <c r="P6" s="7" t="n">
        <v>0.18</v>
      </c>
      <c r="Q6" s="6" t="n">
        <v>0</v>
      </c>
      <c r="R6" s="6" t="n">
        <v>0</v>
      </c>
      <c r="S6" s="6" t="n">
        <f aca="false">ROUND(O6*P6,0)</f>
        <v>6300</v>
      </c>
      <c r="T6" s="6" t="n">
        <f aca="false">O6+Q6+R6+S6</f>
        <v>41300</v>
      </c>
      <c r="U6" s="5" t="n">
        <v>41300</v>
      </c>
      <c r="V6" s="6" t="n">
        <f aca="false">T6-U6</f>
        <v>0</v>
      </c>
      <c r="W6" s="4" t="s">
        <v>1960</v>
      </c>
      <c r="X6" s="3" t="n">
        <v>45778</v>
      </c>
      <c r="Y6" s="4" t="s">
        <v>99</v>
      </c>
      <c r="Z6" s="2" t="s">
        <v>292</v>
      </c>
      <c r="AA6" s="2"/>
    </row>
    <row r="7" customFormat="false" ht="15" hidden="false" customHeight="false" outlineLevel="0" collapsed="false">
      <c r="A7" s="2" t="s">
        <v>1967</v>
      </c>
      <c r="B7" s="2" t="s">
        <v>412</v>
      </c>
      <c r="C7" s="3" t="n">
        <v>45779</v>
      </c>
      <c r="D7" s="3" t="n">
        <v>45794</v>
      </c>
      <c r="E7" s="4" t="s">
        <v>1955</v>
      </c>
      <c r="F7" s="2" t="s">
        <v>36</v>
      </c>
      <c r="G7" s="2" t="s">
        <v>37</v>
      </c>
      <c r="H7" s="4" t="s">
        <v>38</v>
      </c>
      <c r="I7" s="2" t="s">
        <v>1964</v>
      </c>
      <c r="J7" s="2" t="s">
        <v>307</v>
      </c>
      <c r="K7" s="4" t="n">
        <v>3</v>
      </c>
      <c r="L7" s="5" t="n">
        <v>8000</v>
      </c>
      <c r="M7" s="6" t="n">
        <f aca="false">K7*L7</f>
        <v>24000</v>
      </c>
      <c r="N7" s="5" t="n">
        <v>0</v>
      </c>
      <c r="O7" s="6" t="n">
        <f aca="false">M7-N7</f>
        <v>24000</v>
      </c>
      <c r="P7" s="7" t="n">
        <v>0.18</v>
      </c>
      <c r="Q7" s="6" t="n">
        <f aca="false">ROUND(O7*P7/2,0)</f>
        <v>2160</v>
      </c>
      <c r="R7" s="6" t="n">
        <f aca="false">ROUND(O7*P7/2,0)</f>
        <v>2160</v>
      </c>
      <c r="S7" s="6" t="n">
        <v>0</v>
      </c>
      <c r="T7" s="6" t="n">
        <f aca="false">O7+Q7+R7+S7</f>
        <v>28320</v>
      </c>
      <c r="U7" s="5" t="n">
        <v>28320</v>
      </c>
      <c r="V7" s="6" t="n">
        <f aca="false">T7-U7</f>
        <v>0</v>
      </c>
      <c r="W7" s="4" t="s">
        <v>1960</v>
      </c>
      <c r="X7" s="3" t="n">
        <v>45802</v>
      </c>
      <c r="Y7" s="4" t="s">
        <v>99</v>
      </c>
      <c r="Z7" s="2" t="s">
        <v>408</v>
      </c>
      <c r="AA7" s="2"/>
    </row>
    <row r="8" customFormat="false" ht="15" hidden="false" customHeight="false" outlineLevel="0" collapsed="false">
      <c r="A8" s="2" t="s">
        <v>1968</v>
      </c>
      <c r="B8" s="2" t="s">
        <v>334</v>
      </c>
      <c r="C8" s="3" t="n">
        <v>45785</v>
      </c>
      <c r="D8" s="3" t="n">
        <v>45800</v>
      </c>
      <c r="E8" s="4" t="s">
        <v>1955</v>
      </c>
      <c r="F8" s="2" t="s">
        <v>157</v>
      </c>
      <c r="G8" s="2" t="s">
        <v>158</v>
      </c>
      <c r="H8" s="4" t="s">
        <v>38</v>
      </c>
      <c r="I8" s="2" t="s">
        <v>1969</v>
      </c>
      <c r="J8" s="2" t="s">
        <v>333</v>
      </c>
      <c r="K8" s="4" t="n">
        <v>1</v>
      </c>
      <c r="L8" s="5" t="n">
        <v>4000</v>
      </c>
      <c r="M8" s="6" t="n">
        <f aca="false">K8*L8</f>
        <v>4000</v>
      </c>
      <c r="N8" s="5" t="n">
        <v>0</v>
      </c>
      <c r="O8" s="6" t="n">
        <f aca="false">M8-N8</f>
        <v>4000</v>
      </c>
      <c r="P8" s="7" t="n">
        <v>0.12</v>
      </c>
      <c r="Q8" s="6" t="n">
        <v>0</v>
      </c>
      <c r="R8" s="6" t="n">
        <v>0</v>
      </c>
      <c r="S8" s="6" t="n">
        <f aca="false">ROUND(O8*P8,0)</f>
        <v>480</v>
      </c>
      <c r="T8" s="6" t="n">
        <f aca="false">O8+Q8+R8+S8</f>
        <v>4480</v>
      </c>
      <c r="U8" s="5" t="n">
        <v>4480</v>
      </c>
      <c r="V8" s="6" t="n">
        <f aca="false">T8-U8</f>
        <v>0</v>
      </c>
      <c r="W8" s="4" t="s">
        <v>1960</v>
      </c>
      <c r="X8" s="3" t="n">
        <v>45790</v>
      </c>
      <c r="Y8" s="4" t="s">
        <v>1970</v>
      </c>
      <c r="Z8" s="2" t="s">
        <v>1971</v>
      </c>
      <c r="AA8" s="2" t="s">
        <v>1972</v>
      </c>
    </row>
    <row r="9" customFormat="false" ht="15" hidden="false" customHeight="false" outlineLevel="0" collapsed="false">
      <c r="A9" s="2" t="s">
        <v>1973</v>
      </c>
      <c r="B9" s="2" t="s">
        <v>395</v>
      </c>
      <c r="C9" s="3" t="n">
        <v>45789</v>
      </c>
      <c r="D9" s="3" t="n">
        <v>45804</v>
      </c>
      <c r="E9" s="4" t="s">
        <v>1955</v>
      </c>
      <c r="F9" s="2" t="s">
        <v>391</v>
      </c>
      <c r="G9" s="2" t="s">
        <v>392</v>
      </c>
      <c r="H9" s="4" t="s">
        <v>38</v>
      </c>
      <c r="I9" s="2" t="s">
        <v>1974</v>
      </c>
      <c r="J9" s="2" t="s">
        <v>394</v>
      </c>
      <c r="K9" s="4" t="n">
        <v>3</v>
      </c>
      <c r="L9" s="5" t="n">
        <v>50000</v>
      </c>
      <c r="M9" s="6" t="n">
        <f aca="false">K9*L9</f>
        <v>150000</v>
      </c>
      <c r="N9" s="5" t="n">
        <v>0</v>
      </c>
      <c r="O9" s="6" t="n">
        <f aca="false">M9-N9</f>
        <v>150000</v>
      </c>
      <c r="P9" s="7" t="n">
        <v>0.18</v>
      </c>
      <c r="Q9" s="6" t="n">
        <v>0</v>
      </c>
      <c r="R9" s="6" t="n">
        <v>0</v>
      </c>
      <c r="S9" s="6" t="n">
        <f aca="false">ROUND(O9*P9,0)</f>
        <v>27000</v>
      </c>
      <c r="T9" s="6" t="n">
        <f aca="false">O9+Q9+R9+S9</f>
        <v>177000</v>
      </c>
      <c r="U9" s="5" t="n">
        <v>177000</v>
      </c>
      <c r="V9" s="6" t="n">
        <f aca="false">T9-U9</f>
        <v>0</v>
      </c>
      <c r="W9" s="4" t="s">
        <v>1960</v>
      </c>
      <c r="X9" s="3" t="n">
        <v>45799</v>
      </c>
      <c r="Y9" s="4" t="s">
        <v>53</v>
      </c>
      <c r="Z9" s="2" t="s">
        <v>388</v>
      </c>
      <c r="AA9" s="2"/>
    </row>
    <row r="10" customFormat="false" ht="15" hidden="false" customHeight="false" outlineLevel="0" collapsed="false">
      <c r="A10" s="2" t="s">
        <v>1975</v>
      </c>
      <c r="B10" s="2" t="s">
        <v>559</v>
      </c>
      <c r="C10" s="3" t="n">
        <v>45817</v>
      </c>
      <c r="D10" s="3" t="n">
        <v>45862</v>
      </c>
      <c r="E10" s="4" t="s">
        <v>1955</v>
      </c>
      <c r="F10" s="2" t="s">
        <v>126</v>
      </c>
      <c r="G10" s="2" t="s">
        <v>127</v>
      </c>
      <c r="H10" s="4" t="s">
        <v>38</v>
      </c>
      <c r="I10" s="2" t="s">
        <v>1976</v>
      </c>
      <c r="J10" s="2" t="s">
        <v>558</v>
      </c>
      <c r="K10" s="4" t="n">
        <v>2</v>
      </c>
      <c r="L10" s="5" t="n">
        <v>6000</v>
      </c>
      <c r="M10" s="6" t="n">
        <f aca="false">K10*L10</f>
        <v>12000</v>
      </c>
      <c r="N10" s="5" t="n">
        <v>0</v>
      </c>
      <c r="O10" s="6" t="n">
        <f aca="false">M10-N10</f>
        <v>12000</v>
      </c>
      <c r="P10" s="7" t="n">
        <v>0.18</v>
      </c>
      <c r="Q10" s="6" t="n">
        <v>0</v>
      </c>
      <c r="R10" s="6" t="n">
        <v>0</v>
      </c>
      <c r="S10" s="6" t="n">
        <f aca="false">ROUND(O10*P10,0)</f>
        <v>2160</v>
      </c>
      <c r="T10" s="6" t="n">
        <f aca="false">O10+Q10+R10+S10</f>
        <v>14160</v>
      </c>
      <c r="U10" s="5" t="n">
        <v>7300</v>
      </c>
      <c r="V10" s="6" t="n">
        <f aca="false">T10-U10</f>
        <v>6860</v>
      </c>
      <c r="W10" s="4" t="s">
        <v>1957</v>
      </c>
      <c r="X10" s="3" t="n">
        <v>45835</v>
      </c>
      <c r="Y10" s="4" t="s">
        <v>99</v>
      </c>
      <c r="Z10" s="2" t="s">
        <v>554</v>
      </c>
      <c r="AA10" s="2"/>
    </row>
    <row r="11" customFormat="false" ht="15" hidden="false" customHeight="false" outlineLevel="0" collapsed="false">
      <c r="A11" s="2" t="s">
        <v>1977</v>
      </c>
      <c r="B11" s="2" t="s">
        <v>553</v>
      </c>
      <c r="C11" s="3" t="n">
        <v>45823</v>
      </c>
      <c r="D11" s="3" t="n">
        <v>45838</v>
      </c>
      <c r="E11" s="4" t="s">
        <v>1955</v>
      </c>
      <c r="F11" s="2" t="s">
        <v>549</v>
      </c>
      <c r="G11" s="2" t="s">
        <v>550</v>
      </c>
      <c r="H11" s="4" t="s">
        <v>38</v>
      </c>
      <c r="I11" s="2" t="s">
        <v>1978</v>
      </c>
      <c r="J11" s="2" t="s">
        <v>552</v>
      </c>
      <c r="K11" s="4" t="n">
        <v>1</v>
      </c>
      <c r="L11" s="5" t="n">
        <v>35000</v>
      </c>
      <c r="M11" s="6" t="n">
        <f aca="false">K11*L11</f>
        <v>35000</v>
      </c>
      <c r="N11" s="5" t="n">
        <v>1400</v>
      </c>
      <c r="O11" s="6" t="n">
        <f aca="false">M11-N11</f>
        <v>33600</v>
      </c>
      <c r="P11" s="7" t="n">
        <v>0.18</v>
      </c>
      <c r="Q11" s="6" t="n">
        <f aca="false">ROUND(O11*P11/2,0)</f>
        <v>3024</v>
      </c>
      <c r="R11" s="6" t="n">
        <f aca="false">ROUND(O11*P11/2,0)</f>
        <v>3024</v>
      </c>
      <c r="S11" s="6" t="n">
        <v>0</v>
      </c>
      <c r="T11" s="6" t="n">
        <f aca="false">O11+Q11+R11+S11</f>
        <v>39648</v>
      </c>
      <c r="U11" s="5" t="n">
        <v>39648</v>
      </c>
      <c r="V11" s="6" t="n">
        <f aca="false">T11-U11</f>
        <v>0</v>
      </c>
      <c r="W11" s="4" t="s">
        <v>1960</v>
      </c>
      <c r="X11" s="3" t="n">
        <v>45832</v>
      </c>
      <c r="Y11" s="4" t="s">
        <v>180</v>
      </c>
      <c r="Z11" s="2" t="s">
        <v>546</v>
      </c>
      <c r="AA11" s="2"/>
    </row>
    <row r="12" customFormat="false" ht="15" hidden="false" customHeight="false" outlineLevel="0" collapsed="false">
      <c r="A12" s="2" t="s">
        <v>1979</v>
      </c>
      <c r="B12" s="2" t="s">
        <v>668</v>
      </c>
      <c r="C12" s="3" t="n">
        <v>45830</v>
      </c>
      <c r="D12" s="3" t="n">
        <v>45860</v>
      </c>
      <c r="E12" s="4" t="s">
        <v>1955</v>
      </c>
      <c r="F12" s="2" t="s">
        <v>664</v>
      </c>
      <c r="G12" s="2" t="s">
        <v>665</v>
      </c>
      <c r="H12" s="4" t="s">
        <v>38</v>
      </c>
      <c r="I12" s="2" t="s">
        <v>1980</v>
      </c>
      <c r="J12" s="2" t="s">
        <v>667</v>
      </c>
      <c r="K12" s="4" t="n">
        <v>1</v>
      </c>
      <c r="L12" s="5" t="n">
        <v>35000</v>
      </c>
      <c r="M12" s="6" t="n">
        <f aca="false">K12*L12</f>
        <v>35000</v>
      </c>
      <c r="N12" s="5" t="n">
        <v>0</v>
      </c>
      <c r="O12" s="6" t="n">
        <f aca="false">M12-N12</f>
        <v>35000</v>
      </c>
      <c r="P12" s="7" t="n">
        <v>0.18</v>
      </c>
      <c r="Q12" s="6" t="n">
        <f aca="false">ROUND(O12*P12/2,0)</f>
        <v>3150</v>
      </c>
      <c r="R12" s="6" t="n">
        <f aca="false">ROUND(O12*P12/2,0)</f>
        <v>3150</v>
      </c>
      <c r="S12" s="6" t="n">
        <v>0</v>
      </c>
      <c r="T12" s="6" t="n">
        <f aca="false">O12+Q12+R12+S12</f>
        <v>41300</v>
      </c>
      <c r="U12" s="5" t="n">
        <v>41300</v>
      </c>
      <c r="V12" s="6" t="n">
        <f aca="false">T12-U12</f>
        <v>0</v>
      </c>
      <c r="W12" s="4" t="s">
        <v>1960</v>
      </c>
      <c r="X12" s="3" t="n">
        <v>45856</v>
      </c>
      <c r="Y12" s="4" t="s">
        <v>74</v>
      </c>
      <c r="Z12" s="2" t="s">
        <v>661</v>
      </c>
      <c r="AA12" s="2"/>
    </row>
    <row r="13" customFormat="false" ht="15" hidden="false" customHeight="false" outlineLevel="0" collapsed="false">
      <c r="A13" s="2" t="s">
        <v>1981</v>
      </c>
      <c r="B13" s="2" t="s">
        <v>650</v>
      </c>
      <c r="C13" s="3" t="n">
        <v>45833</v>
      </c>
      <c r="D13" s="3" t="n">
        <v>45848</v>
      </c>
      <c r="E13" s="4" t="s">
        <v>1955</v>
      </c>
      <c r="F13" s="2" t="s">
        <v>183</v>
      </c>
      <c r="G13" s="2" t="s">
        <v>184</v>
      </c>
      <c r="H13" s="4" t="s">
        <v>167</v>
      </c>
      <c r="I13" s="2" t="s">
        <v>1956</v>
      </c>
      <c r="J13" s="2" t="s">
        <v>186</v>
      </c>
      <c r="K13" s="4" t="n">
        <v>1</v>
      </c>
      <c r="L13" s="5" t="n">
        <v>25000</v>
      </c>
      <c r="M13" s="6" t="n">
        <f aca="false">K13*L13</f>
        <v>25000</v>
      </c>
      <c r="N13" s="5" t="n">
        <v>0</v>
      </c>
      <c r="O13" s="6" t="n">
        <f aca="false">M13-N13</f>
        <v>25000</v>
      </c>
      <c r="P13" s="7" t="n">
        <v>0.12</v>
      </c>
      <c r="Q13" s="6" t="n">
        <f aca="false">ROUND(O13*P13/2,0)</f>
        <v>1500</v>
      </c>
      <c r="R13" s="6" t="n">
        <f aca="false">ROUND(O13*P13/2,0)</f>
        <v>1500</v>
      </c>
      <c r="S13" s="6" t="n">
        <v>0</v>
      </c>
      <c r="T13" s="6" t="n">
        <f aca="false">O13+Q13+R13+S13</f>
        <v>28000</v>
      </c>
      <c r="U13" s="5" t="n">
        <v>28000</v>
      </c>
      <c r="V13" s="6" t="n">
        <f aca="false">T13-U13</f>
        <v>0</v>
      </c>
      <c r="W13" s="4" t="s">
        <v>1960</v>
      </c>
      <c r="X13" s="3" t="n">
        <v>45861</v>
      </c>
      <c r="Y13" s="4" t="s">
        <v>99</v>
      </c>
      <c r="Z13" s="2" t="s">
        <v>1982</v>
      </c>
      <c r="AA13" s="2" t="s">
        <v>1972</v>
      </c>
    </row>
    <row r="14" customFormat="false" ht="15" hidden="false" customHeight="false" outlineLevel="0" collapsed="false">
      <c r="A14" s="2" t="s">
        <v>1983</v>
      </c>
      <c r="B14" s="2" t="s">
        <v>625</v>
      </c>
      <c r="C14" s="3" t="n">
        <v>45839</v>
      </c>
      <c r="D14" s="3" t="n">
        <v>45869</v>
      </c>
      <c r="E14" s="4" t="s">
        <v>1955</v>
      </c>
      <c r="F14" s="2" t="s">
        <v>391</v>
      </c>
      <c r="G14" s="2" t="s">
        <v>392</v>
      </c>
      <c r="H14" s="4" t="s">
        <v>38</v>
      </c>
      <c r="I14" s="2" t="s">
        <v>1974</v>
      </c>
      <c r="J14" s="2" t="s">
        <v>394</v>
      </c>
      <c r="K14" s="4" t="n">
        <v>3</v>
      </c>
      <c r="L14" s="5" t="n">
        <v>4000</v>
      </c>
      <c r="M14" s="6" t="n">
        <f aca="false">K14*L14</f>
        <v>12000</v>
      </c>
      <c r="N14" s="5" t="n">
        <v>0</v>
      </c>
      <c r="O14" s="6" t="n">
        <f aca="false">M14-N14</f>
        <v>12000</v>
      </c>
      <c r="P14" s="7" t="n">
        <v>0.18</v>
      </c>
      <c r="Q14" s="6" t="n">
        <v>0</v>
      </c>
      <c r="R14" s="6" t="n">
        <v>0</v>
      </c>
      <c r="S14" s="6" t="n">
        <f aca="false">ROUND(O14*P14,0)</f>
        <v>2160</v>
      </c>
      <c r="T14" s="6" t="n">
        <f aca="false">O14+Q14+R14+S14</f>
        <v>14160</v>
      </c>
      <c r="U14" s="5" t="n">
        <v>14160</v>
      </c>
      <c r="V14" s="6" t="n">
        <f aca="false">T14-U14</f>
        <v>0</v>
      </c>
      <c r="W14" s="4" t="s">
        <v>1960</v>
      </c>
      <c r="X14" s="3" t="n">
        <v>45842</v>
      </c>
      <c r="Y14" s="4" t="s">
        <v>99</v>
      </c>
      <c r="Z14" s="2" t="s">
        <v>621</v>
      </c>
      <c r="AA14" s="2"/>
    </row>
    <row r="15" customFormat="false" ht="15" hidden="false" customHeight="false" outlineLevel="0" collapsed="false">
      <c r="A15" s="2" t="s">
        <v>1984</v>
      </c>
      <c r="B15" s="2" t="s">
        <v>689</v>
      </c>
      <c r="C15" s="3" t="n">
        <v>45846</v>
      </c>
      <c r="D15" s="3" t="n">
        <v>45876</v>
      </c>
      <c r="E15" s="4" t="s">
        <v>1955</v>
      </c>
      <c r="F15" s="2" t="s">
        <v>295</v>
      </c>
      <c r="G15" s="2" t="s">
        <v>296</v>
      </c>
      <c r="H15" s="4" t="s">
        <v>167</v>
      </c>
      <c r="I15" s="2" t="s">
        <v>1966</v>
      </c>
      <c r="J15" s="2" t="s">
        <v>298</v>
      </c>
      <c r="K15" s="4" t="n">
        <v>1</v>
      </c>
      <c r="L15" s="5" t="n">
        <v>6000</v>
      </c>
      <c r="M15" s="6" t="n">
        <f aca="false">K15*L15</f>
        <v>6000</v>
      </c>
      <c r="N15" s="5" t="n">
        <v>0</v>
      </c>
      <c r="O15" s="6" t="n">
        <f aca="false">M15-N15</f>
        <v>6000</v>
      </c>
      <c r="P15" s="7" t="n">
        <v>0.12</v>
      </c>
      <c r="Q15" s="6" t="n">
        <v>0</v>
      </c>
      <c r="R15" s="6" t="n">
        <v>0</v>
      </c>
      <c r="S15" s="6" t="n">
        <f aca="false">ROUND(O15*P15,0)</f>
        <v>720</v>
      </c>
      <c r="T15" s="6" t="n">
        <f aca="false">O15+Q15+R15+S15</f>
        <v>6720</v>
      </c>
      <c r="U15" s="5" t="n">
        <v>6720</v>
      </c>
      <c r="V15" s="6" t="n">
        <f aca="false">T15-U15</f>
        <v>0</v>
      </c>
      <c r="W15" s="4" t="s">
        <v>1960</v>
      </c>
      <c r="X15" s="3" t="n">
        <v>45867</v>
      </c>
      <c r="Y15" s="4" t="s">
        <v>685</v>
      </c>
      <c r="Z15" s="2" t="s">
        <v>684</v>
      </c>
      <c r="AA15" s="2"/>
    </row>
    <row r="16" customFormat="false" ht="15" hidden="false" customHeight="false" outlineLevel="0" collapsed="false">
      <c r="A16" s="2" t="s">
        <v>1985</v>
      </c>
      <c r="B16" s="2" t="s">
        <v>729</v>
      </c>
      <c r="C16" s="3" t="n">
        <v>45864</v>
      </c>
      <c r="D16" s="3" t="n">
        <v>45894</v>
      </c>
      <c r="E16" s="4" t="s">
        <v>1955</v>
      </c>
      <c r="F16" s="2" t="s">
        <v>376</v>
      </c>
      <c r="G16" s="2" t="s">
        <v>377</v>
      </c>
      <c r="H16" s="4" t="s">
        <v>38</v>
      </c>
      <c r="I16" s="2" t="s">
        <v>1986</v>
      </c>
      <c r="J16" s="2" t="s">
        <v>728</v>
      </c>
      <c r="K16" s="4" t="n">
        <v>2</v>
      </c>
      <c r="L16" s="5" t="n">
        <v>12000</v>
      </c>
      <c r="M16" s="6" t="n">
        <f aca="false">K16*L16</f>
        <v>24000</v>
      </c>
      <c r="N16" s="5" t="n">
        <v>0</v>
      </c>
      <c r="O16" s="6" t="n">
        <f aca="false">M16-N16</f>
        <v>24000</v>
      </c>
      <c r="P16" s="7" t="n">
        <v>0.18</v>
      </c>
      <c r="Q16" s="6" t="n">
        <v>0</v>
      </c>
      <c r="R16" s="6" t="n">
        <v>0</v>
      </c>
      <c r="S16" s="6" t="n">
        <f aca="false">ROUND(O16*P16,0)</f>
        <v>4320</v>
      </c>
      <c r="T16" s="6" t="n">
        <f aca="false">O16+Q16+R16+S16</f>
        <v>28320</v>
      </c>
      <c r="U16" s="5" t="n">
        <v>18600</v>
      </c>
      <c r="V16" s="6" t="n">
        <f aca="false">T16-U16</f>
        <v>9720</v>
      </c>
      <c r="W16" s="4" t="s">
        <v>1957</v>
      </c>
      <c r="X16" s="3" t="n">
        <v>45884</v>
      </c>
      <c r="Y16" s="4" t="s">
        <v>180</v>
      </c>
      <c r="Z16" s="2" t="s">
        <v>724</v>
      </c>
      <c r="AA16" s="2"/>
    </row>
    <row r="17" customFormat="false" ht="15" hidden="false" customHeight="false" outlineLevel="0" collapsed="false">
      <c r="A17" s="2" t="s">
        <v>1987</v>
      </c>
      <c r="B17" s="2" t="s">
        <v>1988</v>
      </c>
      <c r="C17" s="3" t="n">
        <v>45878</v>
      </c>
      <c r="D17" s="3" t="n">
        <v>46111</v>
      </c>
      <c r="E17" s="4" t="s">
        <v>1955</v>
      </c>
      <c r="F17" s="2" t="s">
        <v>376</v>
      </c>
      <c r="G17" s="2" t="s">
        <v>377</v>
      </c>
      <c r="H17" s="4" t="s">
        <v>38</v>
      </c>
      <c r="I17" s="2" t="s">
        <v>1989</v>
      </c>
      <c r="J17" s="2" t="s">
        <v>1204</v>
      </c>
      <c r="K17" s="4" t="n">
        <v>1</v>
      </c>
      <c r="L17" s="5" t="n">
        <v>12000</v>
      </c>
      <c r="M17" s="6" t="n">
        <f aca="false">K17*L17</f>
        <v>12000</v>
      </c>
      <c r="N17" s="5" t="n">
        <v>480</v>
      </c>
      <c r="O17" s="6" t="n">
        <f aca="false">M17-N17</f>
        <v>11520</v>
      </c>
      <c r="P17" s="7" t="n">
        <v>0.12</v>
      </c>
      <c r="Q17" s="6" t="n">
        <v>0</v>
      </c>
      <c r="R17" s="6" t="n">
        <v>0</v>
      </c>
      <c r="S17" s="6" t="n">
        <f aca="false">ROUND(O17*P17,0)</f>
        <v>1382</v>
      </c>
      <c r="T17" s="6" t="n">
        <f aca="false">O17+Q17+R17+S17</f>
        <v>12902</v>
      </c>
      <c r="U17" s="5" t="n">
        <v>0</v>
      </c>
      <c r="V17" s="6" t="n">
        <f aca="false">T17-U17</f>
        <v>12902</v>
      </c>
      <c r="W17" s="4" t="s">
        <v>1990</v>
      </c>
      <c r="X17" s="3"/>
      <c r="Y17" s="4"/>
      <c r="Z17" s="2"/>
      <c r="AA17" s="2"/>
    </row>
    <row r="18" customFormat="false" ht="15" hidden="false" customHeight="false" outlineLevel="0" collapsed="false">
      <c r="A18" s="2" t="s">
        <v>1991</v>
      </c>
      <c r="B18" s="2" t="s">
        <v>926</v>
      </c>
      <c r="C18" s="3" t="n">
        <v>45900</v>
      </c>
      <c r="D18" s="3" t="n">
        <v>45930</v>
      </c>
      <c r="E18" s="4" t="s">
        <v>1955</v>
      </c>
      <c r="F18" s="2" t="s">
        <v>157</v>
      </c>
      <c r="G18" s="2" t="s">
        <v>158</v>
      </c>
      <c r="H18" s="4" t="s">
        <v>38</v>
      </c>
      <c r="I18" s="2" t="s">
        <v>1962</v>
      </c>
      <c r="J18" s="2" t="s">
        <v>161</v>
      </c>
      <c r="K18" s="4" t="n">
        <v>1</v>
      </c>
      <c r="L18" s="5" t="n">
        <v>12000</v>
      </c>
      <c r="M18" s="6" t="n">
        <f aca="false">K18*L18</f>
        <v>12000</v>
      </c>
      <c r="N18" s="5" t="n">
        <v>0</v>
      </c>
      <c r="O18" s="6" t="n">
        <f aca="false">M18-N18</f>
        <v>12000</v>
      </c>
      <c r="P18" s="7" t="n">
        <v>0.28</v>
      </c>
      <c r="Q18" s="6" t="n">
        <v>0</v>
      </c>
      <c r="R18" s="6" t="n">
        <v>0</v>
      </c>
      <c r="S18" s="6" t="n">
        <f aca="false">ROUND(O18*P18,0)</f>
        <v>3360</v>
      </c>
      <c r="T18" s="6" t="n">
        <f aca="false">O18+Q18+R18+S18</f>
        <v>15360</v>
      </c>
      <c r="U18" s="5" t="n">
        <v>15360</v>
      </c>
      <c r="V18" s="6" t="n">
        <f aca="false">T18-U18</f>
        <v>0</v>
      </c>
      <c r="W18" s="4" t="s">
        <v>1960</v>
      </c>
      <c r="X18" s="3" t="n">
        <v>45930</v>
      </c>
      <c r="Y18" s="4" t="s">
        <v>348</v>
      </c>
      <c r="Z18" s="2" t="s">
        <v>922</v>
      </c>
      <c r="AA18" s="2"/>
    </row>
    <row r="19" customFormat="false" ht="15" hidden="false" customHeight="false" outlineLevel="0" collapsed="false">
      <c r="A19" s="2" t="s">
        <v>1992</v>
      </c>
      <c r="B19" s="2" t="s">
        <v>997</v>
      </c>
      <c r="C19" s="3" t="n">
        <v>45909</v>
      </c>
      <c r="D19" s="3" t="n">
        <v>45939</v>
      </c>
      <c r="E19" s="4" t="s">
        <v>1955</v>
      </c>
      <c r="F19" s="2" t="s">
        <v>993</v>
      </c>
      <c r="G19" s="2" t="s">
        <v>994</v>
      </c>
      <c r="H19" s="4" t="s">
        <v>38</v>
      </c>
      <c r="I19" s="2" t="s">
        <v>1993</v>
      </c>
      <c r="J19" s="2" t="s">
        <v>996</v>
      </c>
      <c r="K19" s="4" t="n">
        <v>3</v>
      </c>
      <c r="L19" s="5" t="n">
        <v>110000</v>
      </c>
      <c r="M19" s="6" t="n">
        <f aca="false">K19*L19</f>
        <v>330000</v>
      </c>
      <c r="N19" s="5" t="n">
        <v>13200</v>
      </c>
      <c r="O19" s="6" t="n">
        <f aca="false">M19-N19</f>
        <v>316800</v>
      </c>
      <c r="P19" s="7" t="n">
        <v>0.18</v>
      </c>
      <c r="Q19" s="6" t="n">
        <v>0</v>
      </c>
      <c r="R19" s="6" t="n">
        <v>0</v>
      </c>
      <c r="S19" s="6" t="n">
        <f aca="false">ROUND(O19*P19,0)</f>
        <v>57024</v>
      </c>
      <c r="T19" s="6" t="n">
        <f aca="false">O19+Q19+R19+S19</f>
        <v>373824</v>
      </c>
      <c r="U19" s="5" t="n">
        <v>255500</v>
      </c>
      <c r="V19" s="6" t="n">
        <f aca="false">T19-U19</f>
        <v>118324</v>
      </c>
      <c r="W19" s="4" t="s">
        <v>1957</v>
      </c>
      <c r="X19" s="3" t="n">
        <v>45943</v>
      </c>
      <c r="Y19" s="4" t="s">
        <v>99</v>
      </c>
      <c r="Z19" s="2" t="s">
        <v>990</v>
      </c>
      <c r="AA19" s="2"/>
    </row>
    <row r="20" customFormat="false" ht="15" hidden="false" customHeight="false" outlineLevel="0" collapsed="false">
      <c r="A20" s="2" t="s">
        <v>1994</v>
      </c>
      <c r="B20" s="2" t="s">
        <v>884</v>
      </c>
      <c r="C20" s="3" t="n">
        <v>45913</v>
      </c>
      <c r="D20" s="3" t="n">
        <v>45928</v>
      </c>
      <c r="E20" s="4" t="s">
        <v>1955</v>
      </c>
      <c r="F20" s="2" t="s">
        <v>880</v>
      </c>
      <c r="G20" s="2" t="s">
        <v>881</v>
      </c>
      <c r="H20" s="4" t="s">
        <v>167</v>
      </c>
      <c r="I20" s="2" t="s">
        <v>1995</v>
      </c>
      <c r="J20" s="2" t="s">
        <v>883</v>
      </c>
      <c r="K20" s="4" t="n">
        <v>1</v>
      </c>
      <c r="L20" s="5" t="n">
        <v>12000</v>
      </c>
      <c r="M20" s="6" t="n">
        <f aca="false">K20*L20</f>
        <v>12000</v>
      </c>
      <c r="N20" s="5" t="n">
        <v>0</v>
      </c>
      <c r="O20" s="6" t="n">
        <f aca="false">M20-N20</f>
        <v>12000</v>
      </c>
      <c r="P20" s="7" t="n">
        <v>0.28</v>
      </c>
      <c r="Q20" s="6" t="n">
        <f aca="false">ROUND(O20*P20/2,0)</f>
        <v>1680</v>
      </c>
      <c r="R20" s="6" t="n">
        <f aca="false">ROUND(O20*P20/2,0)</f>
        <v>1680</v>
      </c>
      <c r="S20" s="6" t="n">
        <v>0</v>
      </c>
      <c r="T20" s="6" t="n">
        <f aca="false">O20+Q20+R20+S20</f>
        <v>15360</v>
      </c>
      <c r="U20" s="5" t="n">
        <v>15360</v>
      </c>
      <c r="V20" s="6" t="n">
        <f aca="false">T20-U20</f>
        <v>0</v>
      </c>
      <c r="W20" s="4" t="s">
        <v>1960</v>
      </c>
      <c r="X20" s="3" t="n">
        <v>45919</v>
      </c>
      <c r="Y20" s="4" t="s">
        <v>348</v>
      </c>
      <c r="Z20" s="2" t="s">
        <v>877</v>
      </c>
      <c r="AA20" s="2"/>
    </row>
    <row r="21" customFormat="false" ht="15" hidden="false" customHeight="false" outlineLevel="0" collapsed="false">
      <c r="A21" s="2" t="s">
        <v>1996</v>
      </c>
      <c r="B21" s="2" t="s">
        <v>1122</v>
      </c>
      <c r="C21" s="3" t="n">
        <v>45914</v>
      </c>
      <c r="D21" s="3" t="n">
        <v>45944</v>
      </c>
      <c r="E21" s="4" t="s">
        <v>1955</v>
      </c>
      <c r="F21" s="2" t="s">
        <v>157</v>
      </c>
      <c r="G21" s="2" t="s">
        <v>158</v>
      </c>
      <c r="H21" s="4" t="s">
        <v>38</v>
      </c>
      <c r="I21" s="2" t="s">
        <v>1969</v>
      </c>
      <c r="J21" s="2" t="s">
        <v>333</v>
      </c>
      <c r="K21" s="4" t="n">
        <v>1</v>
      </c>
      <c r="L21" s="5" t="n">
        <v>6000</v>
      </c>
      <c r="M21" s="6" t="n">
        <f aca="false">K21*L21</f>
        <v>6000</v>
      </c>
      <c r="N21" s="5" t="n">
        <v>0</v>
      </c>
      <c r="O21" s="6" t="n">
        <f aca="false">M21-N21</f>
        <v>6000</v>
      </c>
      <c r="P21" s="7" t="n">
        <v>0.18</v>
      </c>
      <c r="Q21" s="6" t="n">
        <v>0</v>
      </c>
      <c r="R21" s="6" t="n">
        <v>0</v>
      </c>
      <c r="S21" s="6" t="n">
        <f aca="false">ROUND(O21*P21,0)</f>
        <v>1080</v>
      </c>
      <c r="T21" s="6" t="n">
        <f aca="false">O21+Q21+R21+S21</f>
        <v>7080</v>
      </c>
      <c r="U21" s="5" t="n">
        <v>2700</v>
      </c>
      <c r="V21" s="6" t="n">
        <f aca="false">T21-U21</f>
        <v>4380</v>
      </c>
      <c r="W21" s="4" t="s">
        <v>1957</v>
      </c>
      <c r="X21" s="3" t="n">
        <v>45965</v>
      </c>
      <c r="Y21" s="4" t="s">
        <v>99</v>
      </c>
      <c r="Z21" s="2" t="s">
        <v>1119</v>
      </c>
      <c r="AA21" s="2"/>
    </row>
    <row r="22" customFormat="false" ht="15" hidden="false" customHeight="false" outlineLevel="0" collapsed="false">
      <c r="A22" s="2" t="s">
        <v>1997</v>
      </c>
      <c r="B22" s="2" t="s">
        <v>1061</v>
      </c>
      <c r="C22" s="3" t="n">
        <v>45925</v>
      </c>
      <c r="D22" s="3" t="n">
        <v>45955</v>
      </c>
      <c r="E22" s="4" t="s">
        <v>1955</v>
      </c>
      <c r="F22" s="2" t="s">
        <v>549</v>
      </c>
      <c r="G22" s="2" t="s">
        <v>550</v>
      </c>
      <c r="H22" s="4" t="s">
        <v>38</v>
      </c>
      <c r="I22" s="2" t="s">
        <v>1978</v>
      </c>
      <c r="J22" s="2" t="s">
        <v>552</v>
      </c>
      <c r="K22" s="4" t="n">
        <v>1</v>
      </c>
      <c r="L22" s="5" t="n">
        <v>50000</v>
      </c>
      <c r="M22" s="6" t="n">
        <f aca="false">K22*L22</f>
        <v>50000</v>
      </c>
      <c r="N22" s="5" t="n">
        <v>0</v>
      </c>
      <c r="O22" s="6" t="n">
        <f aca="false">M22-N22</f>
        <v>50000</v>
      </c>
      <c r="P22" s="7" t="n">
        <v>0.18</v>
      </c>
      <c r="Q22" s="6" t="n">
        <f aca="false">ROUND(O22*P22/2,0)</f>
        <v>4500</v>
      </c>
      <c r="R22" s="6" t="n">
        <f aca="false">ROUND(O22*P22/2,0)</f>
        <v>4500</v>
      </c>
      <c r="S22" s="6" t="n">
        <v>0</v>
      </c>
      <c r="T22" s="6" t="n">
        <f aca="false">O22+Q22+R22+S22</f>
        <v>59000</v>
      </c>
      <c r="U22" s="5" t="n">
        <v>59000</v>
      </c>
      <c r="V22" s="6" t="n">
        <f aca="false">T22-U22</f>
        <v>0</v>
      </c>
      <c r="W22" s="4" t="s">
        <v>1960</v>
      </c>
      <c r="X22" s="3" t="n">
        <v>45958</v>
      </c>
      <c r="Y22" s="4" t="s">
        <v>99</v>
      </c>
      <c r="Z22" s="2" t="s">
        <v>1057</v>
      </c>
      <c r="AA22" s="2"/>
    </row>
    <row r="23" customFormat="false" ht="15" hidden="false" customHeight="false" outlineLevel="0" collapsed="false">
      <c r="A23" s="2" t="s">
        <v>1998</v>
      </c>
      <c r="B23" s="2" t="s">
        <v>1269</v>
      </c>
      <c r="C23" s="3" t="n">
        <v>45944</v>
      </c>
      <c r="D23" s="3" t="n">
        <v>45974</v>
      </c>
      <c r="E23" s="4" t="s">
        <v>1955</v>
      </c>
      <c r="F23" s="2" t="s">
        <v>631</v>
      </c>
      <c r="G23" s="2" t="s">
        <v>632</v>
      </c>
      <c r="H23" s="4" t="s">
        <v>38</v>
      </c>
      <c r="I23" s="2" t="s">
        <v>1999</v>
      </c>
      <c r="J23" s="2" t="s">
        <v>996</v>
      </c>
      <c r="K23" s="4" t="n">
        <v>2</v>
      </c>
      <c r="L23" s="5" t="n">
        <v>25000</v>
      </c>
      <c r="M23" s="6" t="n">
        <f aca="false">K23*L23</f>
        <v>50000</v>
      </c>
      <c r="N23" s="5" t="n">
        <v>0</v>
      </c>
      <c r="O23" s="6" t="n">
        <f aca="false">M23-N23</f>
        <v>50000</v>
      </c>
      <c r="P23" s="7" t="n">
        <v>0.18</v>
      </c>
      <c r="Q23" s="6" t="n">
        <v>0</v>
      </c>
      <c r="R23" s="6" t="n">
        <v>0</v>
      </c>
      <c r="S23" s="6" t="n">
        <f aca="false">ROUND(O23*P23,0)</f>
        <v>9000</v>
      </c>
      <c r="T23" s="6" t="n">
        <f aca="false">O23+Q23+R23+S23</f>
        <v>59000</v>
      </c>
      <c r="U23" s="5" t="n">
        <v>20600</v>
      </c>
      <c r="V23" s="6" t="n">
        <f aca="false">T23-U23</f>
        <v>38400</v>
      </c>
      <c r="W23" s="4" t="s">
        <v>1957</v>
      </c>
      <c r="X23" s="3" t="n">
        <v>45991</v>
      </c>
      <c r="Y23" s="4" t="s">
        <v>99</v>
      </c>
      <c r="Z23" s="2" t="s">
        <v>1265</v>
      </c>
      <c r="AA23" s="2"/>
    </row>
    <row r="24" customFormat="false" ht="15" hidden="false" customHeight="false" outlineLevel="0" collapsed="false">
      <c r="A24" s="2" t="s">
        <v>2000</v>
      </c>
      <c r="B24" s="2" t="s">
        <v>1053</v>
      </c>
      <c r="C24" s="3" t="n">
        <v>45948</v>
      </c>
      <c r="D24" s="3" t="n">
        <v>45978</v>
      </c>
      <c r="E24" s="4" t="s">
        <v>1955</v>
      </c>
      <c r="F24" s="2" t="s">
        <v>295</v>
      </c>
      <c r="G24" s="2" t="s">
        <v>296</v>
      </c>
      <c r="H24" s="4" t="s">
        <v>167</v>
      </c>
      <c r="I24" s="2" t="s">
        <v>2001</v>
      </c>
      <c r="J24" s="2" t="s">
        <v>1052</v>
      </c>
      <c r="K24" s="4" t="n">
        <v>2</v>
      </c>
      <c r="L24" s="5" t="n">
        <v>75000</v>
      </c>
      <c r="M24" s="6" t="n">
        <f aca="false">K24*L24</f>
        <v>150000</v>
      </c>
      <c r="N24" s="5" t="n">
        <v>0</v>
      </c>
      <c r="O24" s="6" t="n">
        <f aca="false">M24-N24</f>
        <v>150000</v>
      </c>
      <c r="P24" s="7" t="n">
        <v>0.18</v>
      </c>
      <c r="Q24" s="6" t="n">
        <v>0</v>
      </c>
      <c r="R24" s="6" t="n">
        <v>0</v>
      </c>
      <c r="S24" s="6" t="n">
        <f aca="false">ROUND(O24*P24,0)</f>
        <v>27000</v>
      </c>
      <c r="T24" s="6" t="n">
        <f aca="false">O24+Q24+R24+S24</f>
        <v>177000</v>
      </c>
      <c r="U24" s="5" t="n">
        <v>177000</v>
      </c>
      <c r="V24" s="6" t="n">
        <f aca="false">T24-U24</f>
        <v>0</v>
      </c>
      <c r="W24" s="4" t="s">
        <v>1960</v>
      </c>
      <c r="X24" s="3" t="n">
        <v>45956</v>
      </c>
      <c r="Y24" s="4" t="s">
        <v>99</v>
      </c>
      <c r="Z24" s="2" t="s">
        <v>1049</v>
      </c>
      <c r="AA24" s="2"/>
    </row>
    <row r="25" customFormat="false" ht="15" hidden="false" customHeight="false" outlineLevel="0" collapsed="false">
      <c r="A25" s="2" t="s">
        <v>2002</v>
      </c>
      <c r="B25" s="2" t="s">
        <v>2003</v>
      </c>
      <c r="C25" s="3" t="n">
        <v>45948</v>
      </c>
      <c r="D25" s="3" t="n">
        <v>46105</v>
      </c>
      <c r="E25" s="4" t="s">
        <v>1955</v>
      </c>
      <c r="F25" s="2" t="s">
        <v>36</v>
      </c>
      <c r="G25" s="2" t="s">
        <v>37</v>
      </c>
      <c r="H25" s="4" t="s">
        <v>38</v>
      </c>
      <c r="I25" s="2" t="s">
        <v>1964</v>
      </c>
      <c r="J25" s="2" t="s">
        <v>307</v>
      </c>
      <c r="K25" s="4" t="n">
        <v>1</v>
      </c>
      <c r="L25" s="5" t="n">
        <v>18000</v>
      </c>
      <c r="M25" s="6" t="n">
        <f aca="false">K25*L25</f>
        <v>18000</v>
      </c>
      <c r="N25" s="5" t="n">
        <v>720</v>
      </c>
      <c r="O25" s="6" t="n">
        <f aca="false">M25-N25</f>
        <v>17280</v>
      </c>
      <c r="P25" s="7" t="n">
        <v>0.18</v>
      </c>
      <c r="Q25" s="6" t="n">
        <f aca="false">ROUND(O25*P25/2,0)</f>
        <v>1555</v>
      </c>
      <c r="R25" s="6" t="n">
        <f aca="false">ROUND(O25*P25/2,0)</f>
        <v>1555</v>
      </c>
      <c r="S25" s="6" t="n">
        <v>0</v>
      </c>
      <c r="T25" s="6" t="n">
        <f aca="false">O25+Q25+R25+S25</f>
        <v>20390</v>
      </c>
      <c r="U25" s="5" t="n">
        <v>0</v>
      </c>
      <c r="V25" s="6" t="n">
        <f aca="false">T25-U25</f>
        <v>20390</v>
      </c>
      <c r="W25" s="4" t="s">
        <v>1990</v>
      </c>
      <c r="X25" s="3"/>
      <c r="Y25" s="4"/>
      <c r="Z25" s="2"/>
      <c r="AA25" s="2"/>
    </row>
    <row r="26" customFormat="false" ht="15" hidden="false" customHeight="false" outlineLevel="0" collapsed="false">
      <c r="A26" s="2" t="s">
        <v>2004</v>
      </c>
      <c r="B26" s="2" t="s">
        <v>1105</v>
      </c>
      <c r="C26" s="3" t="n">
        <v>45956</v>
      </c>
      <c r="D26" s="3" t="n">
        <v>45971</v>
      </c>
      <c r="E26" s="4" t="s">
        <v>1955</v>
      </c>
      <c r="F26" s="2" t="s">
        <v>1102</v>
      </c>
      <c r="G26" s="2" t="s">
        <v>1103</v>
      </c>
      <c r="H26" s="4" t="s">
        <v>38</v>
      </c>
      <c r="I26" s="2" t="s">
        <v>2005</v>
      </c>
      <c r="J26" s="2" t="s">
        <v>394</v>
      </c>
      <c r="K26" s="4" t="n">
        <v>2</v>
      </c>
      <c r="L26" s="5" t="n">
        <v>75000</v>
      </c>
      <c r="M26" s="6" t="n">
        <f aca="false">K26*L26</f>
        <v>150000</v>
      </c>
      <c r="N26" s="5" t="n">
        <v>0</v>
      </c>
      <c r="O26" s="6" t="n">
        <f aca="false">M26-N26</f>
        <v>150000</v>
      </c>
      <c r="P26" s="7" t="n">
        <v>0.05</v>
      </c>
      <c r="Q26" s="6" t="n">
        <v>0</v>
      </c>
      <c r="R26" s="6" t="n">
        <v>0</v>
      </c>
      <c r="S26" s="6" t="n">
        <f aca="false">ROUND(O26*P26,0)</f>
        <v>7500</v>
      </c>
      <c r="T26" s="6" t="n">
        <f aca="false">O26+Q26+R26+S26</f>
        <v>157500</v>
      </c>
      <c r="U26" s="5" t="n">
        <v>157500</v>
      </c>
      <c r="V26" s="6" t="n">
        <f aca="false">T26-U26</f>
        <v>0</v>
      </c>
      <c r="W26" s="4" t="s">
        <v>1960</v>
      </c>
      <c r="X26" s="3" t="n">
        <v>45962</v>
      </c>
      <c r="Y26" s="4" t="s">
        <v>99</v>
      </c>
      <c r="Z26" s="2" t="s">
        <v>1099</v>
      </c>
      <c r="AA26" s="2"/>
    </row>
    <row r="27" customFormat="false" ht="15" hidden="false" customHeight="false" outlineLevel="0" collapsed="false">
      <c r="A27" s="2" t="s">
        <v>2006</v>
      </c>
      <c r="B27" s="2" t="s">
        <v>1115</v>
      </c>
      <c r="C27" s="3" t="n">
        <v>45961</v>
      </c>
      <c r="D27" s="3" t="n">
        <v>45976</v>
      </c>
      <c r="E27" s="4" t="s">
        <v>1955</v>
      </c>
      <c r="F27" s="2" t="s">
        <v>664</v>
      </c>
      <c r="G27" s="2" t="s">
        <v>665</v>
      </c>
      <c r="H27" s="4" t="s">
        <v>38</v>
      </c>
      <c r="I27" s="2" t="s">
        <v>2007</v>
      </c>
      <c r="J27" s="2" t="s">
        <v>1114</v>
      </c>
      <c r="K27" s="4" t="n">
        <v>1</v>
      </c>
      <c r="L27" s="5" t="n">
        <v>35000</v>
      </c>
      <c r="M27" s="6" t="n">
        <f aca="false">K27*L27</f>
        <v>35000</v>
      </c>
      <c r="N27" s="5" t="n">
        <v>0</v>
      </c>
      <c r="O27" s="6" t="n">
        <f aca="false">M27-N27</f>
        <v>35000</v>
      </c>
      <c r="P27" s="7" t="n">
        <v>0.12</v>
      </c>
      <c r="Q27" s="6" t="n">
        <f aca="false">ROUND(O27*P27/2,0)</f>
        <v>2100</v>
      </c>
      <c r="R27" s="6" t="n">
        <f aca="false">ROUND(O27*P27/2,0)</f>
        <v>2100</v>
      </c>
      <c r="S27" s="6" t="n">
        <v>0</v>
      </c>
      <c r="T27" s="6" t="n">
        <f aca="false">O27+Q27+R27+S27</f>
        <v>39200</v>
      </c>
      <c r="U27" s="5" t="n">
        <v>39200</v>
      </c>
      <c r="V27" s="6" t="n">
        <f aca="false">T27-U27</f>
        <v>0</v>
      </c>
      <c r="W27" s="4" t="s">
        <v>1960</v>
      </c>
      <c r="X27" s="3" t="n">
        <v>45963</v>
      </c>
      <c r="Y27" s="4" t="s">
        <v>53</v>
      </c>
      <c r="Z27" s="2" t="s">
        <v>1110</v>
      </c>
      <c r="AA27" s="2"/>
    </row>
    <row r="28" customFormat="false" ht="15" hidden="false" customHeight="false" outlineLevel="0" collapsed="false">
      <c r="A28" s="2" t="s">
        <v>2008</v>
      </c>
      <c r="B28" s="2" t="s">
        <v>1164</v>
      </c>
      <c r="C28" s="3" t="n">
        <v>45965</v>
      </c>
      <c r="D28" s="3" t="n">
        <v>45995</v>
      </c>
      <c r="E28" s="4" t="s">
        <v>1955</v>
      </c>
      <c r="F28" s="2" t="s">
        <v>1160</v>
      </c>
      <c r="G28" s="2" t="s">
        <v>1161</v>
      </c>
      <c r="H28" s="4" t="s">
        <v>167</v>
      </c>
      <c r="I28" s="2" t="s">
        <v>2009</v>
      </c>
      <c r="J28" s="2" t="s">
        <v>1163</v>
      </c>
      <c r="K28" s="4" t="n">
        <v>1</v>
      </c>
      <c r="L28" s="5" t="n">
        <v>25000</v>
      </c>
      <c r="M28" s="6" t="n">
        <f aca="false">K28*L28</f>
        <v>25000</v>
      </c>
      <c r="N28" s="5" t="n">
        <v>0</v>
      </c>
      <c r="O28" s="6" t="n">
        <f aca="false">M28-N28</f>
        <v>25000</v>
      </c>
      <c r="P28" s="7" t="n">
        <v>0.18</v>
      </c>
      <c r="Q28" s="6" t="n">
        <f aca="false">ROUND(O28*P28/2,0)</f>
        <v>2250</v>
      </c>
      <c r="R28" s="6" t="n">
        <f aca="false">ROUND(O28*P28/2,0)</f>
        <v>2250</v>
      </c>
      <c r="S28" s="6" t="n">
        <v>0</v>
      </c>
      <c r="T28" s="6" t="n">
        <f aca="false">O28+Q28+R28+S28</f>
        <v>29500</v>
      </c>
      <c r="U28" s="5" t="n">
        <v>29500</v>
      </c>
      <c r="V28" s="6" t="n">
        <f aca="false">T28-U28</f>
        <v>0</v>
      </c>
      <c r="W28" s="4" t="s">
        <v>1960</v>
      </c>
      <c r="X28" s="3" t="n">
        <v>45983</v>
      </c>
      <c r="Y28" s="4" t="s">
        <v>1970</v>
      </c>
      <c r="Z28" s="2" t="s">
        <v>2010</v>
      </c>
      <c r="AA28" s="2" t="s">
        <v>1972</v>
      </c>
    </row>
    <row r="29" customFormat="false" ht="15" hidden="false" customHeight="false" outlineLevel="0" collapsed="false">
      <c r="A29" s="2" t="s">
        <v>2011</v>
      </c>
      <c r="B29" s="2" t="s">
        <v>2012</v>
      </c>
      <c r="C29" s="3" t="n">
        <v>45967</v>
      </c>
      <c r="D29" s="3" t="n">
        <v>46101</v>
      </c>
      <c r="E29" s="4" t="s">
        <v>1955</v>
      </c>
      <c r="F29" s="2" t="s">
        <v>133</v>
      </c>
      <c r="G29" s="2" t="s">
        <v>134</v>
      </c>
      <c r="H29" s="4" t="s">
        <v>38</v>
      </c>
      <c r="I29" s="2" t="s">
        <v>2013</v>
      </c>
      <c r="J29" s="2" t="s">
        <v>1807</v>
      </c>
      <c r="K29" s="4" t="n">
        <v>1</v>
      </c>
      <c r="L29" s="5" t="n">
        <v>35000</v>
      </c>
      <c r="M29" s="6" t="n">
        <f aca="false">K29*L29</f>
        <v>35000</v>
      </c>
      <c r="N29" s="5" t="n">
        <v>1400</v>
      </c>
      <c r="O29" s="6" t="n">
        <f aca="false">M29-N29</f>
        <v>33600</v>
      </c>
      <c r="P29" s="7" t="n">
        <v>0.28</v>
      </c>
      <c r="Q29" s="6" t="n">
        <v>0</v>
      </c>
      <c r="R29" s="6" t="n">
        <v>0</v>
      </c>
      <c r="S29" s="6" t="n">
        <f aca="false">ROUND(O29*P29,0)</f>
        <v>9408</v>
      </c>
      <c r="T29" s="6" t="n">
        <f aca="false">O29+Q29+R29+S29</f>
        <v>43008</v>
      </c>
      <c r="U29" s="5" t="n">
        <v>0</v>
      </c>
      <c r="V29" s="6" t="n">
        <f aca="false">T29-U29</f>
        <v>43008</v>
      </c>
      <c r="W29" s="4" t="s">
        <v>1990</v>
      </c>
      <c r="X29" s="3"/>
      <c r="Y29" s="4"/>
      <c r="Z29" s="2"/>
      <c r="AA29" s="2"/>
    </row>
    <row r="30" customFormat="false" ht="15" hidden="false" customHeight="false" outlineLevel="0" collapsed="false">
      <c r="A30" s="2" t="s">
        <v>2014</v>
      </c>
      <c r="B30" s="2" t="s">
        <v>1205</v>
      </c>
      <c r="C30" s="3" t="n">
        <v>45971</v>
      </c>
      <c r="D30" s="3" t="n">
        <v>46001</v>
      </c>
      <c r="E30" s="4" t="s">
        <v>1955</v>
      </c>
      <c r="F30" s="2" t="s">
        <v>376</v>
      </c>
      <c r="G30" s="2" t="s">
        <v>377</v>
      </c>
      <c r="H30" s="4" t="s">
        <v>38</v>
      </c>
      <c r="I30" s="2" t="s">
        <v>1989</v>
      </c>
      <c r="J30" s="2" t="s">
        <v>1204</v>
      </c>
      <c r="K30" s="4" t="n">
        <v>2</v>
      </c>
      <c r="L30" s="5" t="n">
        <v>35000</v>
      </c>
      <c r="M30" s="6" t="n">
        <f aca="false">K30*L30</f>
        <v>70000</v>
      </c>
      <c r="N30" s="5" t="n">
        <v>0</v>
      </c>
      <c r="O30" s="6" t="n">
        <f aca="false">M30-N30</f>
        <v>70000</v>
      </c>
      <c r="P30" s="7" t="n">
        <v>0.18</v>
      </c>
      <c r="Q30" s="6" t="n">
        <v>0</v>
      </c>
      <c r="R30" s="6" t="n">
        <v>0</v>
      </c>
      <c r="S30" s="6" t="n">
        <f aca="false">ROUND(O30*P30,0)</f>
        <v>12600</v>
      </c>
      <c r="T30" s="6" t="n">
        <f aca="false">O30+Q30+R30+S30</f>
        <v>82600</v>
      </c>
      <c r="U30" s="5" t="n">
        <v>82600</v>
      </c>
      <c r="V30" s="6" t="n">
        <f aca="false">T30-U30</f>
        <v>0</v>
      </c>
      <c r="W30" s="4" t="s">
        <v>1960</v>
      </c>
      <c r="X30" s="3" t="n">
        <v>45983</v>
      </c>
      <c r="Y30" s="4" t="s">
        <v>180</v>
      </c>
      <c r="Z30" s="2" t="s">
        <v>1201</v>
      </c>
      <c r="AA30" s="2"/>
    </row>
    <row r="31" customFormat="false" ht="15" hidden="false" customHeight="false" outlineLevel="0" collapsed="false">
      <c r="A31" s="2" t="s">
        <v>2015</v>
      </c>
      <c r="B31" s="2" t="s">
        <v>1313</v>
      </c>
      <c r="C31" s="3" t="n">
        <v>45977</v>
      </c>
      <c r="D31" s="3" t="n">
        <v>46007</v>
      </c>
      <c r="E31" s="4" t="s">
        <v>1955</v>
      </c>
      <c r="F31" s="2" t="s">
        <v>376</v>
      </c>
      <c r="G31" s="2" t="s">
        <v>377</v>
      </c>
      <c r="H31" s="4" t="s">
        <v>38</v>
      </c>
      <c r="I31" s="2" t="s">
        <v>1986</v>
      </c>
      <c r="J31" s="2" t="s">
        <v>728</v>
      </c>
      <c r="K31" s="4" t="n">
        <v>3</v>
      </c>
      <c r="L31" s="5" t="n">
        <v>110000</v>
      </c>
      <c r="M31" s="6" t="n">
        <f aca="false">K31*L31</f>
        <v>330000</v>
      </c>
      <c r="N31" s="5" t="n">
        <v>13200</v>
      </c>
      <c r="O31" s="6" t="n">
        <f aca="false">M31-N31</f>
        <v>316800</v>
      </c>
      <c r="P31" s="7" t="n">
        <v>0.05</v>
      </c>
      <c r="Q31" s="6" t="n">
        <v>0</v>
      </c>
      <c r="R31" s="6" t="n">
        <v>0</v>
      </c>
      <c r="S31" s="6" t="n">
        <f aca="false">ROUND(O31*P31,0)</f>
        <v>15840</v>
      </c>
      <c r="T31" s="6" t="n">
        <f aca="false">O31+Q31+R31+S31</f>
        <v>332640</v>
      </c>
      <c r="U31" s="5" t="n">
        <v>332640</v>
      </c>
      <c r="V31" s="6" t="n">
        <f aca="false">T31-U31</f>
        <v>0</v>
      </c>
      <c r="W31" s="4" t="s">
        <v>1960</v>
      </c>
      <c r="X31" s="3" t="n">
        <v>46006</v>
      </c>
      <c r="Y31" s="4" t="s">
        <v>1970</v>
      </c>
      <c r="Z31" s="2" t="s">
        <v>2016</v>
      </c>
      <c r="AA31" s="2" t="s">
        <v>1972</v>
      </c>
    </row>
    <row r="32" customFormat="false" ht="15" hidden="false" customHeight="false" outlineLevel="0" collapsed="false">
      <c r="A32" s="2" t="s">
        <v>2017</v>
      </c>
      <c r="B32" s="2" t="s">
        <v>2018</v>
      </c>
      <c r="C32" s="3" t="n">
        <v>45986</v>
      </c>
      <c r="D32" s="3" t="n">
        <v>46022</v>
      </c>
      <c r="E32" s="4" t="s">
        <v>1955</v>
      </c>
      <c r="F32" s="2" t="s">
        <v>2019</v>
      </c>
      <c r="G32" s="2" t="s">
        <v>2020</v>
      </c>
      <c r="H32" s="4" t="s">
        <v>38</v>
      </c>
      <c r="I32" s="2" t="s">
        <v>2021</v>
      </c>
      <c r="J32" s="2" t="s">
        <v>2022</v>
      </c>
      <c r="K32" s="4" t="n">
        <v>1</v>
      </c>
      <c r="L32" s="5" t="n">
        <v>75000</v>
      </c>
      <c r="M32" s="6" t="n">
        <f aca="false">K32*L32</f>
        <v>75000</v>
      </c>
      <c r="N32" s="5" t="n">
        <v>0</v>
      </c>
      <c r="O32" s="6" t="n">
        <f aca="false">M32-N32</f>
        <v>75000</v>
      </c>
      <c r="P32" s="7" t="n">
        <v>0.18</v>
      </c>
      <c r="Q32" s="6" t="n">
        <f aca="false">ROUND(O32*P32/2,0)</f>
        <v>6750</v>
      </c>
      <c r="R32" s="6" t="n">
        <f aca="false">ROUND(O32*P32/2,0)</f>
        <v>6750</v>
      </c>
      <c r="S32" s="6" t="n">
        <v>0</v>
      </c>
      <c r="T32" s="6" t="n">
        <f aca="false">O32+Q32+R32+S32</f>
        <v>88500</v>
      </c>
      <c r="U32" s="5" t="n">
        <v>0</v>
      </c>
      <c r="V32" s="6" t="n">
        <f aca="false">T32-U32</f>
        <v>88500</v>
      </c>
      <c r="W32" s="4" t="s">
        <v>2023</v>
      </c>
      <c r="X32" s="3"/>
      <c r="Y32" s="4"/>
      <c r="Z32" s="2"/>
      <c r="AA32" s="2"/>
    </row>
    <row r="33" customFormat="false" ht="15" hidden="false" customHeight="false" outlineLevel="0" collapsed="false">
      <c r="A33" s="2" t="s">
        <v>2024</v>
      </c>
      <c r="B33" s="2" t="s">
        <v>1333</v>
      </c>
      <c r="C33" s="3" t="n">
        <v>46001</v>
      </c>
      <c r="D33" s="3" t="n">
        <v>46031</v>
      </c>
      <c r="E33" s="4" t="s">
        <v>1955</v>
      </c>
      <c r="F33" s="2" t="s">
        <v>631</v>
      </c>
      <c r="G33" s="2" t="s">
        <v>632</v>
      </c>
      <c r="H33" s="4" t="s">
        <v>38</v>
      </c>
      <c r="I33" s="2" t="s">
        <v>1999</v>
      </c>
      <c r="J33" s="2" t="s">
        <v>996</v>
      </c>
      <c r="K33" s="4" t="n">
        <v>3</v>
      </c>
      <c r="L33" s="5" t="n">
        <v>35000</v>
      </c>
      <c r="M33" s="6" t="n">
        <f aca="false">K33*L33</f>
        <v>105000</v>
      </c>
      <c r="N33" s="5" t="n">
        <v>0</v>
      </c>
      <c r="O33" s="6" t="n">
        <f aca="false">M33-N33</f>
        <v>105000</v>
      </c>
      <c r="P33" s="7" t="n">
        <v>0.18</v>
      </c>
      <c r="Q33" s="6" t="n">
        <v>0</v>
      </c>
      <c r="R33" s="6" t="n">
        <v>0</v>
      </c>
      <c r="S33" s="6" t="n">
        <f aca="false">ROUND(O33*P33,0)</f>
        <v>18900</v>
      </c>
      <c r="T33" s="6" t="n">
        <f aca="false">O33+Q33+R33+S33</f>
        <v>123900</v>
      </c>
      <c r="U33" s="5" t="n">
        <v>123900</v>
      </c>
      <c r="V33" s="6" t="n">
        <f aca="false">T33-U33</f>
        <v>0</v>
      </c>
      <c r="W33" s="4" t="s">
        <v>1960</v>
      </c>
      <c r="X33" s="3" t="n">
        <v>46013</v>
      </c>
      <c r="Y33" s="4" t="s">
        <v>1970</v>
      </c>
      <c r="Z33" s="2" t="s">
        <v>2025</v>
      </c>
      <c r="AA33" s="2" t="s">
        <v>1972</v>
      </c>
    </row>
    <row r="34" customFormat="false" ht="15" hidden="false" customHeight="false" outlineLevel="0" collapsed="false">
      <c r="A34" s="2" t="s">
        <v>2026</v>
      </c>
      <c r="B34" s="2" t="s">
        <v>1356</v>
      </c>
      <c r="C34" s="3" t="n">
        <v>46004</v>
      </c>
      <c r="D34" s="3" t="n">
        <v>46019</v>
      </c>
      <c r="E34" s="4" t="s">
        <v>1955</v>
      </c>
      <c r="F34" s="2" t="s">
        <v>907</v>
      </c>
      <c r="G34" s="2" t="s">
        <v>908</v>
      </c>
      <c r="H34" s="4" t="s">
        <v>167</v>
      </c>
      <c r="I34" s="2" t="s">
        <v>2027</v>
      </c>
      <c r="J34" s="2" t="s">
        <v>1355</v>
      </c>
      <c r="K34" s="4" t="n">
        <v>3</v>
      </c>
      <c r="L34" s="5" t="n">
        <v>6000</v>
      </c>
      <c r="M34" s="6" t="n">
        <f aca="false">K34*L34</f>
        <v>18000</v>
      </c>
      <c r="N34" s="5" t="n">
        <v>720</v>
      </c>
      <c r="O34" s="6" t="n">
        <f aca="false">M34-N34</f>
        <v>17280</v>
      </c>
      <c r="P34" s="7" t="n">
        <v>0.18</v>
      </c>
      <c r="Q34" s="6" t="n">
        <f aca="false">ROUND(O34*P34/2,0)</f>
        <v>1555</v>
      </c>
      <c r="R34" s="6" t="n">
        <f aca="false">ROUND(O34*P34/2,0)</f>
        <v>1555</v>
      </c>
      <c r="S34" s="6" t="n">
        <v>0</v>
      </c>
      <c r="T34" s="6" t="n">
        <f aca="false">O34+Q34+R34+S34</f>
        <v>20390</v>
      </c>
      <c r="U34" s="5" t="n">
        <v>20390</v>
      </c>
      <c r="V34" s="6" t="n">
        <f aca="false">T34-U34</f>
        <v>0</v>
      </c>
      <c r="W34" s="4" t="s">
        <v>1960</v>
      </c>
      <c r="X34" s="3" t="n">
        <v>46008</v>
      </c>
      <c r="Y34" s="4" t="s">
        <v>348</v>
      </c>
      <c r="Z34" s="2" t="s">
        <v>1351</v>
      </c>
      <c r="AA34" s="2"/>
    </row>
    <row r="35" customFormat="false" ht="15" hidden="false" customHeight="false" outlineLevel="0" collapsed="false">
      <c r="A35" s="2" t="s">
        <v>2028</v>
      </c>
      <c r="B35" s="2" t="s">
        <v>2029</v>
      </c>
      <c r="C35" s="3" t="n">
        <v>46009</v>
      </c>
      <c r="D35" s="3" t="n">
        <v>46074</v>
      </c>
      <c r="E35" s="4" t="s">
        <v>1955</v>
      </c>
      <c r="F35" s="2" t="s">
        <v>126</v>
      </c>
      <c r="G35" s="2" t="s">
        <v>127</v>
      </c>
      <c r="H35" s="4" t="s">
        <v>38</v>
      </c>
      <c r="I35" s="2" t="s">
        <v>2030</v>
      </c>
      <c r="J35" s="2" t="s">
        <v>2031</v>
      </c>
      <c r="K35" s="4" t="n">
        <v>2</v>
      </c>
      <c r="L35" s="5" t="n">
        <v>8000</v>
      </c>
      <c r="M35" s="6" t="n">
        <f aca="false">K35*L35</f>
        <v>16000</v>
      </c>
      <c r="N35" s="5" t="n">
        <v>0</v>
      </c>
      <c r="O35" s="6" t="n">
        <f aca="false">M35-N35</f>
        <v>16000</v>
      </c>
      <c r="P35" s="7" t="n">
        <v>0.05</v>
      </c>
      <c r="Q35" s="6" t="n">
        <v>0</v>
      </c>
      <c r="R35" s="6" t="n">
        <v>0</v>
      </c>
      <c r="S35" s="6" t="n">
        <f aca="false">ROUND(O35*P35,0)</f>
        <v>800</v>
      </c>
      <c r="T35" s="6" t="n">
        <f aca="false">O35+Q35+R35+S35</f>
        <v>16800</v>
      </c>
      <c r="U35" s="5" t="n">
        <v>0</v>
      </c>
      <c r="V35" s="6" t="n">
        <f aca="false">T35-U35</f>
        <v>16800</v>
      </c>
      <c r="W35" s="4" t="s">
        <v>2023</v>
      </c>
      <c r="X35" s="3"/>
      <c r="Y35" s="4"/>
      <c r="Z35" s="2"/>
      <c r="AA35" s="2"/>
    </row>
    <row r="36" customFormat="false" ht="15" hidden="false" customHeight="false" outlineLevel="0" collapsed="false">
      <c r="A36" s="2" t="s">
        <v>2032</v>
      </c>
      <c r="B36" s="2" t="s">
        <v>1504</v>
      </c>
      <c r="C36" s="3" t="n">
        <v>46011</v>
      </c>
      <c r="D36" s="3" t="n">
        <v>46041</v>
      </c>
      <c r="E36" s="4" t="s">
        <v>1955</v>
      </c>
      <c r="F36" s="2" t="s">
        <v>36</v>
      </c>
      <c r="G36" s="2" t="s">
        <v>37</v>
      </c>
      <c r="H36" s="4" t="s">
        <v>38</v>
      </c>
      <c r="I36" s="2" t="s">
        <v>1964</v>
      </c>
      <c r="J36" s="2" t="s">
        <v>307</v>
      </c>
      <c r="K36" s="4" t="n">
        <v>1</v>
      </c>
      <c r="L36" s="5" t="n">
        <v>35000</v>
      </c>
      <c r="M36" s="6" t="n">
        <f aca="false">K36*L36</f>
        <v>35000</v>
      </c>
      <c r="N36" s="5" t="n">
        <v>0</v>
      </c>
      <c r="O36" s="6" t="n">
        <f aca="false">M36-N36</f>
        <v>35000</v>
      </c>
      <c r="P36" s="7" t="n">
        <v>0.18</v>
      </c>
      <c r="Q36" s="6" t="n">
        <f aca="false">ROUND(O36*P36/2,0)</f>
        <v>3150</v>
      </c>
      <c r="R36" s="6" t="n">
        <f aca="false">ROUND(O36*P36/2,0)</f>
        <v>3150</v>
      </c>
      <c r="S36" s="6" t="n">
        <v>0</v>
      </c>
      <c r="T36" s="6" t="n">
        <f aca="false">O36+Q36+R36+S36</f>
        <v>41300</v>
      </c>
      <c r="U36" s="5" t="n">
        <v>24000</v>
      </c>
      <c r="V36" s="6" t="n">
        <f aca="false">T36-U36</f>
        <v>17300</v>
      </c>
      <c r="W36" s="4" t="s">
        <v>1957</v>
      </c>
      <c r="X36" s="3" t="n">
        <v>46038</v>
      </c>
      <c r="Y36" s="4" t="s">
        <v>685</v>
      </c>
      <c r="Z36" s="2" t="s">
        <v>1500</v>
      </c>
      <c r="AA36" s="2"/>
    </row>
    <row r="37" customFormat="false" ht="15" hidden="false" customHeight="false" outlineLevel="0" collapsed="false">
      <c r="A37" s="2" t="s">
        <v>2033</v>
      </c>
      <c r="B37" s="2" t="s">
        <v>1397</v>
      </c>
      <c r="C37" s="3" t="n">
        <v>46013</v>
      </c>
      <c r="D37" s="3" t="n">
        <v>46043</v>
      </c>
      <c r="E37" s="4" t="s">
        <v>1955</v>
      </c>
      <c r="F37" s="2" t="s">
        <v>664</v>
      </c>
      <c r="G37" s="2" t="s">
        <v>665</v>
      </c>
      <c r="H37" s="4" t="s">
        <v>38</v>
      </c>
      <c r="I37" s="2" t="s">
        <v>1980</v>
      </c>
      <c r="J37" s="2" t="s">
        <v>667</v>
      </c>
      <c r="K37" s="4" t="n">
        <v>1</v>
      </c>
      <c r="L37" s="5" t="n">
        <v>50000</v>
      </c>
      <c r="M37" s="6" t="n">
        <f aca="false">K37*L37</f>
        <v>50000</v>
      </c>
      <c r="N37" s="5" t="n">
        <v>0</v>
      </c>
      <c r="O37" s="6" t="n">
        <f aca="false">M37-N37</f>
        <v>50000</v>
      </c>
      <c r="P37" s="7" t="n">
        <v>0.18</v>
      </c>
      <c r="Q37" s="6" t="n">
        <f aca="false">ROUND(O37*P37/2,0)</f>
        <v>4500</v>
      </c>
      <c r="R37" s="6" t="n">
        <f aca="false">ROUND(O37*P37/2,0)</f>
        <v>4500</v>
      </c>
      <c r="S37" s="6" t="n">
        <v>0</v>
      </c>
      <c r="T37" s="6" t="n">
        <f aca="false">O37+Q37+R37+S37</f>
        <v>59000</v>
      </c>
      <c r="U37" s="5" t="n">
        <v>59000</v>
      </c>
      <c r="V37" s="6" t="n">
        <f aca="false">T37-U37</f>
        <v>0</v>
      </c>
      <c r="W37" s="4" t="s">
        <v>1960</v>
      </c>
      <c r="X37" s="3" t="n">
        <v>46019</v>
      </c>
      <c r="Y37" s="4" t="s">
        <v>53</v>
      </c>
      <c r="Z37" s="2" t="s">
        <v>1394</v>
      </c>
      <c r="AA37" s="2"/>
    </row>
    <row r="38" customFormat="false" ht="15" hidden="false" customHeight="false" outlineLevel="0" collapsed="false">
      <c r="A38" s="2" t="s">
        <v>2034</v>
      </c>
      <c r="B38" s="2" t="s">
        <v>1388</v>
      </c>
      <c r="C38" s="3" t="n">
        <v>46017</v>
      </c>
      <c r="D38" s="3" t="n">
        <v>46032</v>
      </c>
      <c r="E38" s="4" t="s">
        <v>1955</v>
      </c>
      <c r="F38" s="2" t="s">
        <v>1384</v>
      </c>
      <c r="G38" s="2" t="s">
        <v>1385</v>
      </c>
      <c r="H38" s="4" t="s">
        <v>167</v>
      </c>
      <c r="I38" s="2" t="s">
        <v>2035</v>
      </c>
      <c r="J38" s="2" t="s">
        <v>1387</v>
      </c>
      <c r="K38" s="4" t="n">
        <v>2</v>
      </c>
      <c r="L38" s="5" t="n">
        <v>110000</v>
      </c>
      <c r="M38" s="6" t="n">
        <f aca="false">K38*L38</f>
        <v>220000</v>
      </c>
      <c r="N38" s="5" t="n">
        <v>0</v>
      </c>
      <c r="O38" s="6" t="n">
        <f aca="false">M38-N38</f>
        <v>220000</v>
      </c>
      <c r="P38" s="7" t="n">
        <v>0.12</v>
      </c>
      <c r="Q38" s="6" t="n">
        <f aca="false">ROUND(O38*P38/2,0)</f>
        <v>13200</v>
      </c>
      <c r="R38" s="6" t="n">
        <f aca="false">ROUND(O38*P38/2,0)</f>
        <v>13200</v>
      </c>
      <c r="S38" s="6" t="n">
        <v>0</v>
      </c>
      <c r="T38" s="6" t="n">
        <f aca="false">O38+Q38+R38+S38</f>
        <v>246400</v>
      </c>
      <c r="U38" s="5" t="n">
        <v>246400</v>
      </c>
      <c r="V38" s="6" t="n">
        <f aca="false">T38-U38</f>
        <v>0</v>
      </c>
      <c r="W38" s="4" t="s">
        <v>1960</v>
      </c>
      <c r="X38" s="3" t="n">
        <v>46018</v>
      </c>
      <c r="Y38" s="4" t="s">
        <v>99</v>
      </c>
      <c r="Z38" s="2" t="s">
        <v>1381</v>
      </c>
      <c r="AA38" s="2"/>
    </row>
    <row r="39" customFormat="false" ht="15" hidden="false" customHeight="false" outlineLevel="0" collapsed="false">
      <c r="A39" s="2" t="s">
        <v>2036</v>
      </c>
      <c r="B39" s="2" t="s">
        <v>1580</v>
      </c>
      <c r="C39" s="3" t="n">
        <v>46020</v>
      </c>
      <c r="D39" s="3" t="n">
        <v>46050</v>
      </c>
      <c r="E39" s="4" t="s">
        <v>1955</v>
      </c>
      <c r="F39" s="2" t="s">
        <v>36</v>
      </c>
      <c r="G39" s="2" t="s">
        <v>37</v>
      </c>
      <c r="H39" s="4" t="s">
        <v>38</v>
      </c>
      <c r="I39" s="2" t="s">
        <v>2037</v>
      </c>
      <c r="J39" s="2" t="s">
        <v>1579</v>
      </c>
      <c r="K39" s="4" t="n">
        <v>3</v>
      </c>
      <c r="L39" s="5" t="n">
        <v>8000</v>
      </c>
      <c r="M39" s="6" t="n">
        <f aca="false">K39*L39</f>
        <v>24000</v>
      </c>
      <c r="N39" s="5" t="n">
        <v>960</v>
      </c>
      <c r="O39" s="6" t="n">
        <f aca="false">M39-N39</f>
        <v>23040</v>
      </c>
      <c r="P39" s="7" t="n">
        <v>0.18</v>
      </c>
      <c r="Q39" s="6" t="n">
        <f aca="false">ROUND(O39*P39/2,0)</f>
        <v>2074</v>
      </c>
      <c r="R39" s="6" t="n">
        <f aca="false">ROUND(O39*P39/2,0)</f>
        <v>2074</v>
      </c>
      <c r="S39" s="6" t="n">
        <v>0</v>
      </c>
      <c r="T39" s="6" t="n">
        <f aca="false">O39+Q39+R39+S39</f>
        <v>27188</v>
      </c>
      <c r="U39" s="5" t="n">
        <v>27188</v>
      </c>
      <c r="V39" s="6" t="n">
        <f aca="false">T39-U39</f>
        <v>0</v>
      </c>
      <c r="W39" s="4" t="s">
        <v>1960</v>
      </c>
      <c r="X39" s="3" t="n">
        <v>46051</v>
      </c>
      <c r="Y39" s="4" t="s">
        <v>180</v>
      </c>
      <c r="Z39" s="2" t="s">
        <v>1576</v>
      </c>
      <c r="AA39" s="2"/>
    </row>
    <row r="40" customFormat="false" ht="15" hidden="false" customHeight="false" outlineLevel="0" collapsed="false">
      <c r="A40" s="2" t="s">
        <v>2038</v>
      </c>
      <c r="B40" s="2" t="s">
        <v>2039</v>
      </c>
      <c r="C40" s="3" t="n">
        <v>46029</v>
      </c>
      <c r="D40" s="3" t="n">
        <v>46036</v>
      </c>
      <c r="E40" s="4" t="s">
        <v>1955</v>
      </c>
      <c r="F40" s="2" t="s">
        <v>157</v>
      </c>
      <c r="G40" s="2" t="s">
        <v>158</v>
      </c>
      <c r="H40" s="4" t="s">
        <v>38</v>
      </c>
      <c r="I40" s="2" t="s">
        <v>1962</v>
      </c>
      <c r="J40" s="2" t="s">
        <v>161</v>
      </c>
      <c r="K40" s="4" t="n">
        <v>1</v>
      </c>
      <c r="L40" s="5" t="n">
        <v>25000</v>
      </c>
      <c r="M40" s="6" t="n">
        <f aca="false">K40*L40</f>
        <v>25000</v>
      </c>
      <c r="N40" s="5" t="n">
        <v>0</v>
      </c>
      <c r="O40" s="6" t="n">
        <f aca="false">M40-N40</f>
        <v>25000</v>
      </c>
      <c r="P40" s="7" t="n">
        <v>0.12</v>
      </c>
      <c r="Q40" s="6" t="n">
        <v>0</v>
      </c>
      <c r="R40" s="6" t="n">
        <v>0</v>
      </c>
      <c r="S40" s="6" t="n">
        <f aca="false">ROUND(O40*P40,0)</f>
        <v>3000</v>
      </c>
      <c r="T40" s="6" t="n">
        <f aca="false">O40+Q40+R40+S40</f>
        <v>28000</v>
      </c>
      <c r="U40" s="5" t="n">
        <v>0</v>
      </c>
      <c r="V40" s="6" t="n">
        <f aca="false">T40-U40</f>
        <v>28000</v>
      </c>
      <c r="W40" s="4" t="s">
        <v>2023</v>
      </c>
      <c r="X40" s="3"/>
      <c r="Y40" s="4"/>
      <c r="Z40" s="2"/>
      <c r="AA40" s="2"/>
    </row>
    <row r="41" customFormat="false" ht="15" hidden="false" customHeight="false" outlineLevel="0" collapsed="false">
      <c r="A41" s="2" t="s">
        <v>2040</v>
      </c>
      <c r="B41" s="2" t="s">
        <v>1531</v>
      </c>
      <c r="C41" s="3" t="n">
        <v>46031</v>
      </c>
      <c r="D41" s="3" t="n">
        <v>46076</v>
      </c>
      <c r="E41" s="4" t="s">
        <v>1955</v>
      </c>
      <c r="F41" s="2" t="s">
        <v>183</v>
      </c>
      <c r="G41" s="2" t="s">
        <v>184</v>
      </c>
      <c r="H41" s="4" t="s">
        <v>167</v>
      </c>
      <c r="I41" s="2" t="s">
        <v>2041</v>
      </c>
      <c r="J41" s="2" t="s">
        <v>1530</v>
      </c>
      <c r="K41" s="4" t="n">
        <v>2</v>
      </c>
      <c r="L41" s="5" t="n">
        <v>75000</v>
      </c>
      <c r="M41" s="6" t="n">
        <f aca="false">K41*L41</f>
        <v>150000</v>
      </c>
      <c r="N41" s="5" t="n">
        <v>6000</v>
      </c>
      <c r="O41" s="6" t="n">
        <f aca="false">M41-N41</f>
        <v>144000</v>
      </c>
      <c r="P41" s="7" t="n">
        <v>0.18</v>
      </c>
      <c r="Q41" s="6" t="n">
        <f aca="false">ROUND(O41*P41/2,0)</f>
        <v>12960</v>
      </c>
      <c r="R41" s="6" t="n">
        <f aca="false">ROUND(O41*P41/2,0)</f>
        <v>12960</v>
      </c>
      <c r="S41" s="6" t="n">
        <v>0</v>
      </c>
      <c r="T41" s="6" t="n">
        <f aca="false">O41+Q41+R41+S41</f>
        <v>169920</v>
      </c>
      <c r="U41" s="5" t="n">
        <v>169920</v>
      </c>
      <c r="V41" s="6" t="n">
        <f aca="false">T41-U41</f>
        <v>0</v>
      </c>
      <c r="W41" s="4" t="s">
        <v>1960</v>
      </c>
      <c r="X41" s="3" t="n">
        <v>46043</v>
      </c>
      <c r="Y41" s="4" t="s">
        <v>99</v>
      </c>
      <c r="Z41" s="2" t="s">
        <v>1527</v>
      </c>
      <c r="AA41" s="2"/>
    </row>
    <row r="42" customFormat="false" ht="15" hidden="false" customHeight="false" outlineLevel="0" collapsed="false">
      <c r="A42" s="2" t="s">
        <v>2042</v>
      </c>
      <c r="B42" s="2" t="s">
        <v>2043</v>
      </c>
      <c r="C42" s="3" t="n">
        <v>46038</v>
      </c>
      <c r="D42" s="3" t="n">
        <v>46068</v>
      </c>
      <c r="E42" s="4" t="s">
        <v>1955</v>
      </c>
      <c r="F42" s="2" t="s">
        <v>1384</v>
      </c>
      <c r="G42" s="2" t="s">
        <v>1385</v>
      </c>
      <c r="H42" s="4" t="s">
        <v>167</v>
      </c>
      <c r="I42" s="2" t="s">
        <v>2035</v>
      </c>
      <c r="J42" s="2" t="s">
        <v>1387</v>
      </c>
      <c r="K42" s="4" t="n">
        <v>3</v>
      </c>
      <c r="L42" s="5" t="n">
        <v>35000</v>
      </c>
      <c r="M42" s="6" t="n">
        <f aca="false">K42*L42</f>
        <v>105000</v>
      </c>
      <c r="N42" s="5" t="n">
        <v>0</v>
      </c>
      <c r="O42" s="6" t="n">
        <f aca="false">M42-N42</f>
        <v>105000</v>
      </c>
      <c r="P42" s="7" t="n">
        <v>0.18</v>
      </c>
      <c r="Q42" s="6" t="n">
        <f aca="false">ROUND(O42*P42/2,0)</f>
        <v>9450</v>
      </c>
      <c r="R42" s="6" t="n">
        <f aca="false">ROUND(O42*P42/2,0)</f>
        <v>9450</v>
      </c>
      <c r="S42" s="6" t="n">
        <v>0</v>
      </c>
      <c r="T42" s="6" t="n">
        <f aca="false">O42+Q42+R42+S42</f>
        <v>123900</v>
      </c>
      <c r="U42" s="5" t="n">
        <v>0</v>
      </c>
      <c r="V42" s="6" t="n">
        <f aca="false">T42-U42</f>
        <v>123900</v>
      </c>
      <c r="W42" s="4" t="s">
        <v>2044</v>
      </c>
      <c r="X42" s="3"/>
      <c r="Y42" s="4"/>
      <c r="Z42" s="2"/>
      <c r="AA42" s="2" t="s">
        <v>2045</v>
      </c>
    </row>
    <row r="43" customFormat="false" ht="15" hidden="false" customHeight="false" outlineLevel="0" collapsed="false">
      <c r="A43" s="2" t="s">
        <v>2046</v>
      </c>
      <c r="B43" s="2" t="s">
        <v>1585</v>
      </c>
      <c r="C43" s="3" t="n">
        <v>46046</v>
      </c>
      <c r="D43" s="3" t="n">
        <v>46091</v>
      </c>
      <c r="E43" s="4" t="s">
        <v>1955</v>
      </c>
      <c r="F43" s="2" t="s">
        <v>631</v>
      </c>
      <c r="G43" s="2" t="s">
        <v>632</v>
      </c>
      <c r="H43" s="4" t="s">
        <v>38</v>
      </c>
      <c r="I43" s="2" t="s">
        <v>2047</v>
      </c>
      <c r="J43" s="2" t="s">
        <v>1584</v>
      </c>
      <c r="K43" s="4" t="n">
        <v>1</v>
      </c>
      <c r="L43" s="5" t="n">
        <v>35000</v>
      </c>
      <c r="M43" s="6" t="n">
        <f aca="false">K43*L43</f>
        <v>35000</v>
      </c>
      <c r="N43" s="5" t="n">
        <v>0</v>
      </c>
      <c r="O43" s="6" t="n">
        <f aca="false">M43-N43</f>
        <v>35000</v>
      </c>
      <c r="P43" s="7" t="n">
        <v>0.18</v>
      </c>
      <c r="Q43" s="6" t="n">
        <v>0</v>
      </c>
      <c r="R43" s="6" t="n">
        <v>0</v>
      </c>
      <c r="S43" s="6" t="n">
        <f aca="false">ROUND(O43*P43,0)</f>
        <v>6300</v>
      </c>
      <c r="T43" s="6" t="n">
        <f aca="false">O43+Q43+R43+S43</f>
        <v>41300</v>
      </c>
      <c r="U43" s="5" t="n">
        <v>41300</v>
      </c>
      <c r="V43" s="6" t="n">
        <f aca="false">T43-U43</f>
        <v>0</v>
      </c>
      <c r="W43" s="4" t="s">
        <v>1960</v>
      </c>
      <c r="X43" s="3" t="n">
        <v>46052</v>
      </c>
      <c r="Y43" s="4" t="s">
        <v>99</v>
      </c>
      <c r="Z43" s="2" t="s">
        <v>1581</v>
      </c>
      <c r="AA43" s="2"/>
    </row>
    <row r="44" customFormat="false" ht="15" hidden="false" customHeight="false" outlineLevel="0" collapsed="false">
      <c r="A44" s="2" t="s">
        <v>2048</v>
      </c>
      <c r="B44" s="2" t="s">
        <v>1899</v>
      </c>
      <c r="C44" s="3" t="n">
        <v>46053</v>
      </c>
      <c r="D44" s="3" t="n">
        <v>46083</v>
      </c>
      <c r="E44" s="4" t="s">
        <v>1955</v>
      </c>
      <c r="F44" s="2" t="s">
        <v>1102</v>
      </c>
      <c r="G44" s="2" t="s">
        <v>1103</v>
      </c>
      <c r="H44" s="4" t="s">
        <v>38</v>
      </c>
      <c r="I44" s="2" t="s">
        <v>2005</v>
      </c>
      <c r="J44" s="2" t="s">
        <v>394</v>
      </c>
      <c r="K44" s="4" t="n">
        <v>1</v>
      </c>
      <c r="L44" s="5" t="n">
        <v>8000</v>
      </c>
      <c r="M44" s="6" t="n">
        <f aca="false">K44*L44</f>
        <v>8000</v>
      </c>
      <c r="N44" s="5" t="n">
        <v>0</v>
      </c>
      <c r="O44" s="6" t="n">
        <f aca="false">M44-N44</f>
        <v>8000</v>
      </c>
      <c r="P44" s="7" t="n">
        <v>0.18</v>
      </c>
      <c r="Q44" s="6" t="n">
        <v>0</v>
      </c>
      <c r="R44" s="6" t="n">
        <v>0</v>
      </c>
      <c r="S44" s="6" t="n">
        <f aca="false">ROUND(O44*P44,0)</f>
        <v>1440</v>
      </c>
      <c r="T44" s="6" t="n">
        <f aca="false">O44+Q44+R44+S44</f>
        <v>9440</v>
      </c>
      <c r="U44" s="5" t="n">
        <v>9440</v>
      </c>
      <c r="V44" s="6" t="n">
        <f aca="false">T44-U44</f>
        <v>0</v>
      </c>
      <c r="W44" s="4" t="s">
        <v>1960</v>
      </c>
      <c r="X44" s="3" t="n">
        <v>46108</v>
      </c>
      <c r="Y44" s="4" t="s">
        <v>180</v>
      </c>
      <c r="Z44" s="2" t="s">
        <v>1895</v>
      </c>
      <c r="AA44" s="2"/>
    </row>
    <row r="45" customFormat="false" ht="15" hidden="false" customHeight="false" outlineLevel="0" collapsed="false">
      <c r="A45" s="2" t="s">
        <v>2049</v>
      </c>
      <c r="B45" s="2" t="s">
        <v>2050</v>
      </c>
      <c r="C45" s="3" t="n">
        <v>46054</v>
      </c>
      <c r="D45" s="3" t="n">
        <v>46101</v>
      </c>
      <c r="E45" s="4" t="s">
        <v>1955</v>
      </c>
      <c r="F45" s="2" t="s">
        <v>391</v>
      </c>
      <c r="G45" s="2" t="s">
        <v>392</v>
      </c>
      <c r="H45" s="4" t="s">
        <v>38</v>
      </c>
      <c r="I45" s="2" t="s">
        <v>1974</v>
      </c>
      <c r="J45" s="2" t="s">
        <v>394</v>
      </c>
      <c r="K45" s="4" t="n">
        <v>2</v>
      </c>
      <c r="L45" s="5" t="n">
        <v>50000</v>
      </c>
      <c r="M45" s="6" t="n">
        <f aca="false">K45*L45</f>
        <v>100000</v>
      </c>
      <c r="N45" s="5" t="n">
        <v>0</v>
      </c>
      <c r="O45" s="6" t="n">
        <f aca="false">M45-N45</f>
        <v>100000</v>
      </c>
      <c r="P45" s="7" t="n">
        <v>0.05</v>
      </c>
      <c r="Q45" s="6" t="n">
        <v>0</v>
      </c>
      <c r="R45" s="6" t="n">
        <v>0</v>
      </c>
      <c r="S45" s="6" t="n">
        <f aca="false">ROUND(O45*P45,0)</f>
        <v>5000</v>
      </c>
      <c r="T45" s="6" t="n">
        <f aca="false">O45+Q45+R45+S45</f>
        <v>105000</v>
      </c>
      <c r="U45" s="5" t="n">
        <v>0</v>
      </c>
      <c r="V45" s="6" t="n">
        <f aca="false">T45-U45</f>
        <v>105000</v>
      </c>
      <c r="W45" s="4" t="s">
        <v>1990</v>
      </c>
      <c r="X45" s="3"/>
      <c r="Y45" s="4"/>
      <c r="Z45" s="2"/>
      <c r="AA45" s="2"/>
    </row>
    <row r="46" customFormat="false" ht="15" hidden="false" customHeight="false" outlineLevel="0" collapsed="false">
      <c r="A46" s="2" t="s">
        <v>2051</v>
      </c>
      <c r="B46" s="2" t="s">
        <v>1904</v>
      </c>
      <c r="C46" s="3" t="n">
        <v>46056</v>
      </c>
      <c r="D46" s="3" t="n">
        <v>46086</v>
      </c>
      <c r="E46" s="4" t="s">
        <v>1955</v>
      </c>
      <c r="F46" s="2" t="s">
        <v>118</v>
      </c>
      <c r="G46" s="2" t="s">
        <v>119</v>
      </c>
      <c r="H46" s="4" t="s">
        <v>38</v>
      </c>
      <c r="I46" s="2" t="s">
        <v>2052</v>
      </c>
      <c r="J46" s="2" t="s">
        <v>1813</v>
      </c>
      <c r="K46" s="4" t="n">
        <v>2</v>
      </c>
      <c r="L46" s="5" t="n">
        <v>4000</v>
      </c>
      <c r="M46" s="6" t="n">
        <f aca="false">K46*L46</f>
        <v>8000</v>
      </c>
      <c r="N46" s="5" t="n">
        <v>320</v>
      </c>
      <c r="O46" s="6" t="n">
        <f aca="false">M46-N46</f>
        <v>7680</v>
      </c>
      <c r="P46" s="7" t="n">
        <v>0.12</v>
      </c>
      <c r="Q46" s="6" t="n">
        <v>0</v>
      </c>
      <c r="R46" s="6" t="n">
        <v>0</v>
      </c>
      <c r="S46" s="6" t="n">
        <f aca="false">ROUND(O46*P46,0)</f>
        <v>922</v>
      </c>
      <c r="T46" s="6" t="n">
        <f aca="false">O46+Q46+R46+S46</f>
        <v>8602</v>
      </c>
      <c r="U46" s="5" t="n">
        <v>8602</v>
      </c>
      <c r="V46" s="6" t="n">
        <f aca="false">T46-U46</f>
        <v>0</v>
      </c>
      <c r="W46" s="4" t="s">
        <v>1960</v>
      </c>
      <c r="X46" s="3" t="n">
        <v>46110</v>
      </c>
      <c r="Y46" s="4" t="s">
        <v>348</v>
      </c>
      <c r="Z46" s="2" t="s">
        <v>1900</v>
      </c>
      <c r="AA46" s="2"/>
    </row>
    <row r="47" customFormat="false" ht="15" hidden="false" customHeight="false" outlineLevel="0" collapsed="false">
      <c r="A47" s="2" t="s">
        <v>2053</v>
      </c>
      <c r="B47" s="2" t="s">
        <v>1620</v>
      </c>
      <c r="C47" s="3" t="n">
        <v>46059</v>
      </c>
      <c r="D47" s="3" t="n">
        <v>46074</v>
      </c>
      <c r="E47" s="4" t="s">
        <v>1955</v>
      </c>
      <c r="F47" s="2" t="s">
        <v>165</v>
      </c>
      <c r="G47" s="2" t="s">
        <v>166</v>
      </c>
      <c r="H47" s="4" t="s">
        <v>167</v>
      </c>
      <c r="I47" s="2" t="s">
        <v>2054</v>
      </c>
      <c r="J47" s="2" t="s">
        <v>1619</v>
      </c>
      <c r="K47" s="4" t="n">
        <v>1</v>
      </c>
      <c r="L47" s="5" t="n">
        <v>12000</v>
      </c>
      <c r="M47" s="6" t="n">
        <f aca="false">K47*L47</f>
        <v>12000</v>
      </c>
      <c r="N47" s="5" t="n">
        <v>0</v>
      </c>
      <c r="O47" s="6" t="n">
        <f aca="false">M47-N47</f>
        <v>12000</v>
      </c>
      <c r="P47" s="7" t="n">
        <v>0.12</v>
      </c>
      <c r="Q47" s="6" t="n">
        <f aca="false">ROUND(O47*P47/2,0)</f>
        <v>720</v>
      </c>
      <c r="R47" s="6" t="n">
        <f aca="false">ROUND(O47*P47/2,0)</f>
        <v>720</v>
      </c>
      <c r="S47" s="6" t="n">
        <v>0</v>
      </c>
      <c r="T47" s="6" t="n">
        <f aca="false">O47+Q47+R47+S47</f>
        <v>13440</v>
      </c>
      <c r="U47" s="5" t="n">
        <v>13440</v>
      </c>
      <c r="V47" s="6" t="n">
        <f aca="false">T47-U47</f>
        <v>0</v>
      </c>
      <c r="W47" s="4" t="s">
        <v>1960</v>
      </c>
      <c r="X47" s="3" t="n">
        <v>46061</v>
      </c>
      <c r="Y47" s="4" t="s">
        <v>99</v>
      </c>
      <c r="Z47" s="2" t="s">
        <v>1615</v>
      </c>
      <c r="AA47" s="2"/>
    </row>
    <row r="48" customFormat="false" ht="15" hidden="false" customHeight="false" outlineLevel="0" collapsed="false">
      <c r="A48" s="2" t="s">
        <v>2055</v>
      </c>
      <c r="B48" s="2" t="s">
        <v>1861</v>
      </c>
      <c r="C48" s="3" t="n">
        <v>46062</v>
      </c>
      <c r="D48" s="3" t="n">
        <v>46092</v>
      </c>
      <c r="E48" s="4" t="s">
        <v>1955</v>
      </c>
      <c r="F48" s="2" t="s">
        <v>295</v>
      </c>
      <c r="G48" s="2" t="s">
        <v>296</v>
      </c>
      <c r="H48" s="4" t="s">
        <v>167</v>
      </c>
      <c r="I48" s="2" t="s">
        <v>1966</v>
      </c>
      <c r="J48" s="2" t="s">
        <v>298</v>
      </c>
      <c r="K48" s="4" t="n">
        <v>1</v>
      </c>
      <c r="L48" s="5" t="n">
        <v>75000</v>
      </c>
      <c r="M48" s="6" t="n">
        <f aca="false">K48*L48</f>
        <v>75000</v>
      </c>
      <c r="N48" s="5" t="n">
        <v>0</v>
      </c>
      <c r="O48" s="6" t="n">
        <f aca="false">M48-N48</f>
        <v>75000</v>
      </c>
      <c r="P48" s="7" t="n">
        <v>0.18</v>
      </c>
      <c r="Q48" s="6" t="n">
        <v>0</v>
      </c>
      <c r="R48" s="6" t="n">
        <v>0</v>
      </c>
      <c r="S48" s="6" t="n">
        <f aca="false">ROUND(O48*P48,0)</f>
        <v>13500</v>
      </c>
      <c r="T48" s="6" t="n">
        <f aca="false">O48+Q48+R48+S48</f>
        <v>88500</v>
      </c>
      <c r="U48" s="5" t="n">
        <v>88500</v>
      </c>
      <c r="V48" s="6" t="n">
        <f aca="false">T48-U48</f>
        <v>0</v>
      </c>
      <c r="W48" s="4" t="s">
        <v>1960</v>
      </c>
      <c r="X48" s="3" t="n">
        <v>46100</v>
      </c>
      <c r="Y48" s="4" t="s">
        <v>348</v>
      </c>
      <c r="Z48" s="2" t="s">
        <v>1857</v>
      </c>
      <c r="AA48" s="2"/>
    </row>
    <row r="49" customFormat="false" ht="15" hidden="false" customHeight="false" outlineLevel="0" collapsed="false">
      <c r="A49" s="2" t="s">
        <v>2056</v>
      </c>
      <c r="B49" s="2" t="s">
        <v>1879</v>
      </c>
      <c r="C49" s="3" t="n">
        <v>46077</v>
      </c>
      <c r="D49" s="3" t="n">
        <v>46107</v>
      </c>
      <c r="E49" s="4" t="s">
        <v>1955</v>
      </c>
      <c r="F49" s="2" t="s">
        <v>1875</v>
      </c>
      <c r="G49" s="2" t="s">
        <v>1876</v>
      </c>
      <c r="H49" s="4" t="s">
        <v>38</v>
      </c>
      <c r="I49" s="2" t="s">
        <v>2057</v>
      </c>
      <c r="J49" s="2" t="s">
        <v>1878</v>
      </c>
      <c r="K49" s="4" t="n">
        <v>1</v>
      </c>
      <c r="L49" s="5" t="n">
        <v>18000</v>
      </c>
      <c r="M49" s="6" t="n">
        <f aca="false">K49*L49</f>
        <v>18000</v>
      </c>
      <c r="N49" s="5" t="n">
        <v>0</v>
      </c>
      <c r="O49" s="6" t="n">
        <f aca="false">M49-N49</f>
        <v>18000</v>
      </c>
      <c r="P49" s="7" t="n">
        <v>0.18</v>
      </c>
      <c r="Q49" s="6" t="n">
        <v>0</v>
      </c>
      <c r="R49" s="6" t="n">
        <v>0</v>
      </c>
      <c r="S49" s="6" t="n">
        <f aca="false">ROUND(O49*P49,0)</f>
        <v>3240</v>
      </c>
      <c r="T49" s="6" t="n">
        <f aca="false">O49+Q49+R49+S49</f>
        <v>21240</v>
      </c>
      <c r="U49" s="5" t="n">
        <v>21240</v>
      </c>
      <c r="V49" s="6" t="n">
        <f aca="false">T49-U49</f>
        <v>0</v>
      </c>
      <c r="W49" s="4" t="s">
        <v>1960</v>
      </c>
      <c r="X49" s="3" t="n">
        <v>46102</v>
      </c>
      <c r="Y49" s="4" t="s">
        <v>348</v>
      </c>
      <c r="Z49" s="2" t="s">
        <v>1872</v>
      </c>
      <c r="AA49" s="2"/>
    </row>
    <row r="50" customFormat="false" ht="15" hidden="false" customHeight="false" outlineLevel="0" collapsed="false">
      <c r="A50" s="2" t="s">
        <v>2058</v>
      </c>
      <c r="B50" s="2" t="s">
        <v>1814</v>
      </c>
      <c r="C50" s="3" t="n">
        <v>46078</v>
      </c>
      <c r="D50" s="3" t="n">
        <v>46108</v>
      </c>
      <c r="E50" s="4" t="s">
        <v>1955</v>
      </c>
      <c r="F50" s="2" t="s">
        <v>549</v>
      </c>
      <c r="G50" s="2" t="s">
        <v>550</v>
      </c>
      <c r="H50" s="4" t="s">
        <v>38</v>
      </c>
      <c r="I50" s="2" t="s">
        <v>2059</v>
      </c>
      <c r="J50" s="2" t="s">
        <v>1813</v>
      </c>
      <c r="K50" s="4" t="n">
        <v>1</v>
      </c>
      <c r="L50" s="5" t="n">
        <v>12000</v>
      </c>
      <c r="M50" s="6" t="n">
        <f aca="false">K50*L50</f>
        <v>12000</v>
      </c>
      <c r="N50" s="5" t="n">
        <v>0</v>
      </c>
      <c r="O50" s="6" t="n">
        <f aca="false">M50-N50</f>
        <v>12000</v>
      </c>
      <c r="P50" s="7" t="n">
        <v>0.18</v>
      </c>
      <c r="Q50" s="6" t="n">
        <f aca="false">ROUND(O50*P50/2,0)</f>
        <v>1080</v>
      </c>
      <c r="R50" s="6" t="n">
        <f aca="false">ROUND(O50*P50/2,0)</f>
        <v>1080</v>
      </c>
      <c r="S50" s="6" t="n">
        <v>0</v>
      </c>
      <c r="T50" s="6" t="n">
        <f aca="false">O50+Q50+R50+S50</f>
        <v>14160</v>
      </c>
      <c r="U50" s="5" t="n">
        <v>14160</v>
      </c>
      <c r="V50" s="6" t="n">
        <f aca="false">T50-U50</f>
        <v>0</v>
      </c>
      <c r="W50" s="4" t="s">
        <v>1960</v>
      </c>
      <c r="X50" s="3" t="n">
        <v>46094</v>
      </c>
      <c r="Y50" s="4" t="s">
        <v>685</v>
      </c>
      <c r="Z50" s="2" t="s">
        <v>1809</v>
      </c>
      <c r="AA50" s="2"/>
    </row>
    <row r="51" customFormat="false" ht="15" hidden="false" customHeight="false" outlineLevel="0" collapsed="false">
      <c r="A51" s="2" t="s">
        <v>2060</v>
      </c>
      <c r="B51" s="2" t="s">
        <v>1925</v>
      </c>
      <c r="C51" s="3" t="n">
        <v>46081</v>
      </c>
      <c r="D51" s="3" t="n">
        <v>46111</v>
      </c>
      <c r="E51" s="4" t="s">
        <v>1955</v>
      </c>
      <c r="F51" s="2" t="s">
        <v>391</v>
      </c>
      <c r="G51" s="2" t="s">
        <v>392</v>
      </c>
      <c r="H51" s="4" t="s">
        <v>38</v>
      </c>
      <c r="I51" s="2" t="s">
        <v>1974</v>
      </c>
      <c r="J51" s="2" t="s">
        <v>394</v>
      </c>
      <c r="K51" s="4" t="n">
        <v>1</v>
      </c>
      <c r="L51" s="5" t="n">
        <v>6000</v>
      </c>
      <c r="M51" s="6" t="n">
        <f aca="false">K51*L51</f>
        <v>6000</v>
      </c>
      <c r="N51" s="5" t="n">
        <v>0</v>
      </c>
      <c r="O51" s="6" t="n">
        <f aca="false">M51-N51</f>
        <v>6000</v>
      </c>
      <c r="P51" s="7" t="n">
        <v>0.12</v>
      </c>
      <c r="Q51" s="6" t="n">
        <v>0</v>
      </c>
      <c r="R51" s="6" t="n">
        <v>0</v>
      </c>
      <c r="S51" s="6" t="n">
        <f aca="false">ROUND(O51*P51,0)</f>
        <v>720</v>
      </c>
      <c r="T51" s="6" t="n">
        <f aca="false">O51+Q51+R51+S51</f>
        <v>6720</v>
      </c>
      <c r="U51" s="5" t="n">
        <v>3300</v>
      </c>
      <c r="V51" s="6" t="n">
        <f aca="false">T51-U51</f>
        <v>3420</v>
      </c>
      <c r="W51" s="4" t="s">
        <v>1957</v>
      </c>
      <c r="X51" s="3" t="n">
        <v>46112</v>
      </c>
      <c r="Y51" s="4" t="s">
        <v>53</v>
      </c>
      <c r="Z51" s="2" t="s">
        <v>1922</v>
      </c>
      <c r="AA51" s="2"/>
    </row>
    <row r="52" customFormat="false" ht="15" hidden="false" customHeight="false" outlineLevel="0" collapsed="false">
      <c r="A52" s="2" t="s">
        <v>2061</v>
      </c>
      <c r="B52" s="2" t="s">
        <v>1808</v>
      </c>
      <c r="C52" s="3" t="n">
        <v>46083</v>
      </c>
      <c r="D52" s="3" t="n">
        <v>46098</v>
      </c>
      <c r="E52" s="4" t="s">
        <v>1955</v>
      </c>
      <c r="F52" s="2" t="s">
        <v>133</v>
      </c>
      <c r="G52" s="2" t="s">
        <v>134</v>
      </c>
      <c r="H52" s="4" t="s">
        <v>38</v>
      </c>
      <c r="I52" s="2" t="s">
        <v>2013</v>
      </c>
      <c r="J52" s="2" t="s">
        <v>1807</v>
      </c>
      <c r="K52" s="4" t="n">
        <v>1</v>
      </c>
      <c r="L52" s="5" t="n">
        <v>25000</v>
      </c>
      <c r="M52" s="6" t="n">
        <f aca="false">K52*L52</f>
        <v>25000</v>
      </c>
      <c r="N52" s="5" t="n">
        <v>0</v>
      </c>
      <c r="O52" s="6" t="n">
        <f aca="false">M52-N52</f>
        <v>25000</v>
      </c>
      <c r="P52" s="7" t="n">
        <v>0.18</v>
      </c>
      <c r="Q52" s="6" t="n">
        <v>0</v>
      </c>
      <c r="R52" s="6" t="n">
        <v>0</v>
      </c>
      <c r="S52" s="6" t="n">
        <f aca="false">ROUND(O52*P52,0)</f>
        <v>4500</v>
      </c>
      <c r="T52" s="6" t="n">
        <f aca="false">O52+Q52+R52+S52</f>
        <v>29500</v>
      </c>
      <c r="U52" s="5" t="n">
        <v>29500</v>
      </c>
      <c r="V52" s="6" t="n">
        <f aca="false">T52-U52</f>
        <v>0</v>
      </c>
      <c r="W52" s="4" t="s">
        <v>1960</v>
      </c>
      <c r="X52" s="3" t="n">
        <v>46093</v>
      </c>
      <c r="Y52" s="4" t="s">
        <v>99</v>
      </c>
      <c r="Z52" s="2" t="s">
        <v>1803</v>
      </c>
      <c r="AA52" s="2"/>
    </row>
    <row r="53" customFormat="false" ht="15" hidden="false" customHeight="false" outlineLevel="0" collapsed="false">
      <c r="A53" s="2" t="s">
        <v>2062</v>
      </c>
      <c r="B53" s="2" t="s">
        <v>1794</v>
      </c>
      <c r="C53" s="3" t="n">
        <v>46083</v>
      </c>
      <c r="D53" s="3" t="n">
        <v>46098</v>
      </c>
      <c r="E53" s="4" t="s">
        <v>1955</v>
      </c>
      <c r="F53" s="2" t="s">
        <v>993</v>
      </c>
      <c r="G53" s="2" t="s">
        <v>994</v>
      </c>
      <c r="H53" s="4" t="s">
        <v>38</v>
      </c>
      <c r="I53" s="2" t="s">
        <v>1993</v>
      </c>
      <c r="J53" s="2" t="s">
        <v>996</v>
      </c>
      <c r="K53" s="4" t="n">
        <v>1</v>
      </c>
      <c r="L53" s="5" t="n">
        <v>4000</v>
      </c>
      <c r="M53" s="6" t="n">
        <f aca="false">K53*L53</f>
        <v>4000</v>
      </c>
      <c r="N53" s="5" t="n">
        <v>0</v>
      </c>
      <c r="O53" s="6" t="n">
        <f aca="false">M53-N53</f>
        <v>4000</v>
      </c>
      <c r="P53" s="7" t="n">
        <v>0.18</v>
      </c>
      <c r="Q53" s="6" t="n">
        <v>0</v>
      </c>
      <c r="R53" s="6" t="n">
        <v>0</v>
      </c>
      <c r="S53" s="6" t="n">
        <f aca="false">ROUND(O53*P53,0)</f>
        <v>720</v>
      </c>
      <c r="T53" s="6" t="n">
        <f aca="false">O53+Q53+R53+S53</f>
        <v>4720</v>
      </c>
      <c r="U53" s="5" t="n">
        <v>3100</v>
      </c>
      <c r="V53" s="6" t="n">
        <f aca="false">T53-U53</f>
        <v>1620</v>
      </c>
      <c r="W53" s="4" t="s">
        <v>1957</v>
      </c>
      <c r="X53" s="3" t="n">
        <v>46090</v>
      </c>
      <c r="Y53" s="4" t="s">
        <v>99</v>
      </c>
      <c r="Z53" s="2" t="s">
        <v>1791</v>
      </c>
      <c r="AA53" s="2"/>
    </row>
    <row r="54" customFormat="false" ht="15" hidden="false" customHeight="false" outlineLevel="0" collapsed="false">
      <c r="A54" s="2" t="s">
        <v>2063</v>
      </c>
      <c r="B54" s="2" t="s">
        <v>1799</v>
      </c>
      <c r="C54" s="3" t="n">
        <v>46085</v>
      </c>
      <c r="D54" s="3" t="n">
        <v>46100</v>
      </c>
      <c r="E54" s="4" t="s">
        <v>1955</v>
      </c>
      <c r="F54" s="2" t="s">
        <v>183</v>
      </c>
      <c r="G54" s="2" t="s">
        <v>184</v>
      </c>
      <c r="H54" s="4" t="s">
        <v>167</v>
      </c>
      <c r="I54" s="2" t="s">
        <v>2041</v>
      </c>
      <c r="J54" s="2" t="s">
        <v>1530</v>
      </c>
      <c r="K54" s="4" t="n">
        <v>3</v>
      </c>
      <c r="L54" s="5" t="n">
        <v>12000</v>
      </c>
      <c r="M54" s="6" t="n">
        <f aca="false">K54*L54</f>
        <v>36000</v>
      </c>
      <c r="N54" s="5" t="n">
        <v>0</v>
      </c>
      <c r="O54" s="6" t="n">
        <f aca="false">M54-N54</f>
        <v>36000</v>
      </c>
      <c r="P54" s="7" t="n">
        <v>0.05</v>
      </c>
      <c r="Q54" s="6" t="n">
        <f aca="false">ROUND(O54*P54/2,0)</f>
        <v>900</v>
      </c>
      <c r="R54" s="6" t="n">
        <f aca="false">ROUND(O54*P54/2,0)</f>
        <v>900</v>
      </c>
      <c r="S54" s="6" t="n">
        <v>0</v>
      </c>
      <c r="T54" s="6" t="n">
        <f aca="false">O54+Q54+R54+S54</f>
        <v>37800</v>
      </c>
      <c r="U54" s="5" t="n">
        <v>37800</v>
      </c>
      <c r="V54" s="6" t="n">
        <f aca="false">T54-U54</f>
        <v>0</v>
      </c>
      <c r="W54" s="4" t="s">
        <v>1960</v>
      </c>
      <c r="X54" s="3" t="n">
        <v>46091</v>
      </c>
      <c r="Y54" s="4" t="s">
        <v>74</v>
      </c>
      <c r="Z54" s="2" t="s">
        <v>1795</v>
      </c>
      <c r="AA54" s="2"/>
    </row>
    <row r="55" customFormat="false" ht="15" hidden="false" customHeight="false" outlineLevel="0" collapsed="false">
      <c r="A55" s="2" t="s">
        <v>2064</v>
      </c>
      <c r="B55" s="2" t="s">
        <v>1909</v>
      </c>
      <c r="C55" s="3" t="n">
        <v>46086</v>
      </c>
      <c r="D55" s="3" t="n">
        <v>46101</v>
      </c>
      <c r="E55" s="4" t="s">
        <v>1955</v>
      </c>
      <c r="F55" s="2" t="s">
        <v>993</v>
      </c>
      <c r="G55" s="2" t="s">
        <v>994</v>
      </c>
      <c r="H55" s="4" t="s">
        <v>38</v>
      </c>
      <c r="I55" s="2" t="s">
        <v>1993</v>
      </c>
      <c r="J55" s="2" t="s">
        <v>996</v>
      </c>
      <c r="K55" s="4" t="n">
        <v>2</v>
      </c>
      <c r="L55" s="5" t="n">
        <v>35000</v>
      </c>
      <c r="M55" s="6" t="n">
        <f aca="false">K55*L55</f>
        <v>70000</v>
      </c>
      <c r="N55" s="5" t="n">
        <v>0</v>
      </c>
      <c r="O55" s="6" t="n">
        <f aca="false">M55-N55</f>
        <v>70000</v>
      </c>
      <c r="P55" s="7" t="n">
        <v>0.18</v>
      </c>
      <c r="Q55" s="6" t="n">
        <v>0</v>
      </c>
      <c r="R55" s="6" t="n">
        <v>0</v>
      </c>
      <c r="S55" s="6" t="n">
        <f aca="false">ROUND(O55*P55,0)</f>
        <v>12600</v>
      </c>
      <c r="T55" s="6" t="n">
        <f aca="false">O55+Q55+R55+S55</f>
        <v>82600</v>
      </c>
      <c r="U55" s="5" t="n">
        <v>82600</v>
      </c>
      <c r="V55" s="6" t="n">
        <f aca="false">T55-U55</f>
        <v>0</v>
      </c>
      <c r="W55" s="4" t="s">
        <v>1960</v>
      </c>
      <c r="X55" s="3" t="n">
        <v>46111</v>
      </c>
      <c r="Y55" s="4" t="s">
        <v>348</v>
      </c>
      <c r="Z55" s="2" t="s">
        <v>1905</v>
      </c>
      <c r="AA55" s="2"/>
    </row>
    <row r="56" customFormat="false" ht="15" hidden="false" customHeight="false" outlineLevel="0" collapsed="false">
      <c r="A56" s="2" t="s">
        <v>2065</v>
      </c>
      <c r="B56" s="2" t="s">
        <v>1848</v>
      </c>
      <c r="C56" s="3" t="n">
        <v>46092</v>
      </c>
      <c r="D56" s="3" t="n">
        <v>46107</v>
      </c>
      <c r="E56" s="4" t="s">
        <v>1955</v>
      </c>
      <c r="F56" s="2" t="s">
        <v>1384</v>
      </c>
      <c r="G56" s="2" t="s">
        <v>1385</v>
      </c>
      <c r="H56" s="4" t="s">
        <v>167</v>
      </c>
      <c r="I56" s="2" t="s">
        <v>2035</v>
      </c>
      <c r="J56" s="2" t="s">
        <v>1387</v>
      </c>
      <c r="K56" s="4" t="n">
        <v>1</v>
      </c>
      <c r="L56" s="5" t="n">
        <v>35000</v>
      </c>
      <c r="M56" s="6" t="n">
        <f aca="false">K56*L56</f>
        <v>35000</v>
      </c>
      <c r="N56" s="5" t="n">
        <v>0</v>
      </c>
      <c r="O56" s="6" t="n">
        <f aca="false">M56-N56</f>
        <v>35000</v>
      </c>
      <c r="P56" s="7" t="n">
        <v>0.12</v>
      </c>
      <c r="Q56" s="6" t="n">
        <f aca="false">ROUND(O56*P56/2,0)</f>
        <v>2100</v>
      </c>
      <c r="R56" s="6" t="n">
        <f aca="false">ROUND(O56*P56/2,0)</f>
        <v>2100</v>
      </c>
      <c r="S56" s="6" t="n">
        <v>0</v>
      </c>
      <c r="T56" s="6" t="n">
        <f aca="false">O56+Q56+R56+S56</f>
        <v>39200</v>
      </c>
      <c r="U56" s="5" t="n">
        <v>39200</v>
      </c>
      <c r="V56" s="6" t="n">
        <f aca="false">T56-U56</f>
        <v>0</v>
      </c>
      <c r="W56" s="4" t="s">
        <v>1960</v>
      </c>
      <c r="X56" s="3" t="n">
        <v>46112</v>
      </c>
      <c r="Y56" s="4" t="s">
        <v>1970</v>
      </c>
      <c r="Z56" s="2" t="s">
        <v>2066</v>
      </c>
      <c r="AA56" s="2" t="s">
        <v>1972</v>
      </c>
    </row>
    <row r="57" customFormat="false" ht="15" hidden="false" customHeight="false" outlineLevel="0" collapsed="false">
      <c r="A57" s="2" t="s">
        <v>2067</v>
      </c>
      <c r="B57" s="2" t="s">
        <v>81</v>
      </c>
      <c r="C57" s="3" t="n">
        <v>45748</v>
      </c>
      <c r="D57" s="3" t="n">
        <v>45763</v>
      </c>
      <c r="E57" s="4" t="s">
        <v>2068</v>
      </c>
      <c r="F57" s="2" t="s">
        <v>77</v>
      </c>
      <c r="G57" s="2" t="s">
        <v>78</v>
      </c>
      <c r="H57" s="4" t="s">
        <v>58</v>
      </c>
      <c r="I57" s="2" t="s">
        <v>2069</v>
      </c>
      <c r="J57" s="2" t="s">
        <v>2070</v>
      </c>
      <c r="K57" s="4" t="n">
        <v>1</v>
      </c>
      <c r="L57" s="5" t="n">
        <v>100000</v>
      </c>
      <c r="M57" s="6" t="n">
        <f aca="false">K57*L57</f>
        <v>100000</v>
      </c>
      <c r="N57" s="5" t="n">
        <v>3000</v>
      </c>
      <c r="O57" s="6" t="n">
        <f aca="false">M57-N57</f>
        <v>97000</v>
      </c>
      <c r="P57" s="7" t="n">
        <v>0.18</v>
      </c>
      <c r="Q57" s="6" t="n">
        <v>0</v>
      </c>
      <c r="R57" s="6" t="n">
        <v>0</v>
      </c>
      <c r="S57" s="6" t="n">
        <f aca="false">ROUND(O57*P57,0)</f>
        <v>17460</v>
      </c>
      <c r="T57" s="6" t="n">
        <f aca="false">O57+Q57+R57+S57</f>
        <v>114460</v>
      </c>
      <c r="U57" s="5" t="n">
        <v>114460</v>
      </c>
      <c r="V57" s="6" t="n">
        <f aca="false">T57-U57</f>
        <v>0</v>
      </c>
      <c r="W57" s="4" t="s">
        <v>1960</v>
      </c>
      <c r="X57" s="3" t="n">
        <v>45754</v>
      </c>
      <c r="Y57" s="4" t="s">
        <v>74</v>
      </c>
      <c r="Z57" s="2" t="s">
        <v>2071</v>
      </c>
      <c r="AA57" s="2" t="s">
        <v>2072</v>
      </c>
    </row>
    <row r="58" customFormat="false" ht="15" hidden="false" customHeight="false" outlineLevel="0" collapsed="false">
      <c r="A58" s="2" t="s">
        <v>2073</v>
      </c>
      <c r="B58" s="2" t="s">
        <v>196</v>
      </c>
      <c r="C58" s="3" t="n">
        <v>45758</v>
      </c>
      <c r="D58" s="3" t="n">
        <v>45788</v>
      </c>
      <c r="E58" s="4" t="s">
        <v>2068</v>
      </c>
      <c r="F58" s="2" t="s">
        <v>192</v>
      </c>
      <c r="G58" s="2" t="s">
        <v>193</v>
      </c>
      <c r="H58" s="4" t="s">
        <v>58</v>
      </c>
      <c r="I58" s="2" t="s">
        <v>2074</v>
      </c>
      <c r="J58" s="2" t="s">
        <v>2075</v>
      </c>
      <c r="K58" s="4" t="n">
        <v>1</v>
      </c>
      <c r="L58" s="5" t="n">
        <v>160000</v>
      </c>
      <c r="M58" s="6" t="n">
        <f aca="false">K58*L58</f>
        <v>160000</v>
      </c>
      <c r="N58" s="5" t="n">
        <v>4800</v>
      </c>
      <c r="O58" s="6" t="n">
        <f aca="false">M58-N58</f>
        <v>155200</v>
      </c>
      <c r="P58" s="7" t="n">
        <v>0.12</v>
      </c>
      <c r="Q58" s="6" t="n">
        <f aca="false">ROUND(O58*P58/2,0)</f>
        <v>9312</v>
      </c>
      <c r="R58" s="6" t="n">
        <f aca="false">ROUND(O58*P58/2,0)</f>
        <v>9312</v>
      </c>
      <c r="S58" s="6" t="n">
        <v>0</v>
      </c>
      <c r="T58" s="6" t="n">
        <f aca="false">O58+Q58+R58+S58</f>
        <v>173824</v>
      </c>
      <c r="U58" s="5" t="n">
        <v>173824</v>
      </c>
      <c r="V58" s="6" t="n">
        <f aca="false">T58-U58</f>
        <v>0</v>
      </c>
      <c r="W58" s="4" t="s">
        <v>1960</v>
      </c>
      <c r="X58" s="3" t="n">
        <v>45771</v>
      </c>
      <c r="Y58" s="4" t="s">
        <v>1970</v>
      </c>
      <c r="Z58" s="2" t="s">
        <v>2076</v>
      </c>
      <c r="AA58" s="2" t="s">
        <v>1972</v>
      </c>
    </row>
    <row r="59" customFormat="false" ht="15" hidden="false" customHeight="false" outlineLevel="0" collapsed="false">
      <c r="A59" s="2" t="s">
        <v>2077</v>
      </c>
      <c r="B59" s="2" t="s">
        <v>2078</v>
      </c>
      <c r="C59" s="3" t="n">
        <v>45760</v>
      </c>
      <c r="D59" s="3" t="n">
        <v>45775</v>
      </c>
      <c r="E59" s="4" t="s">
        <v>2068</v>
      </c>
      <c r="F59" s="2" t="s">
        <v>363</v>
      </c>
      <c r="G59" s="2" t="s">
        <v>364</v>
      </c>
      <c r="H59" s="4" t="s">
        <v>58</v>
      </c>
      <c r="I59" s="2" t="s">
        <v>2079</v>
      </c>
      <c r="J59" s="2" t="s">
        <v>2080</v>
      </c>
      <c r="K59" s="4" t="n">
        <v>1</v>
      </c>
      <c r="L59" s="5" t="n">
        <v>550000</v>
      </c>
      <c r="M59" s="6" t="n">
        <f aca="false">K59*L59</f>
        <v>550000</v>
      </c>
      <c r="N59" s="5" t="n">
        <v>0</v>
      </c>
      <c r="O59" s="6" t="n">
        <f aca="false">M59-N59</f>
        <v>550000</v>
      </c>
      <c r="P59" s="7" t="n">
        <v>0.28</v>
      </c>
      <c r="Q59" s="6" t="n">
        <v>0</v>
      </c>
      <c r="R59" s="6" t="n">
        <v>0</v>
      </c>
      <c r="S59" s="6" t="n">
        <f aca="false">ROUND(O59*P59,0)</f>
        <v>154000</v>
      </c>
      <c r="T59" s="6" t="n">
        <f aca="false">O59+Q59+R59+S59</f>
        <v>704000</v>
      </c>
      <c r="U59" s="5" t="n">
        <v>704000</v>
      </c>
      <c r="V59" s="6" t="n">
        <f aca="false">T59-U59</f>
        <v>0</v>
      </c>
      <c r="W59" s="4" t="s">
        <v>1960</v>
      </c>
      <c r="X59" s="3" t="n">
        <v>45793</v>
      </c>
      <c r="Y59" s="4" t="s">
        <v>99</v>
      </c>
      <c r="Z59" s="2" t="s">
        <v>360</v>
      </c>
      <c r="AA59" s="2" t="s">
        <v>2081</v>
      </c>
    </row>
    <row r="60" customFormat="false" ht="15" hidden="false" customHeight="false" outlineLevel="0" collapsed="false">
      <c r="A60" s="2" t="s">
        <v>2082</v>
      </c>
      <c r="B60" s="2" t="s">
        <v>2083</v>
      </c>
      <c r="C60" s="3" t="n">
        <v>45761</v>
      </c>
      <c r="D60" s="3" t="n">
        <v>45791</v>
      </c>
      <c r="E60" s="4" t="s">
        <v>2068</v>
      </c>
      <c r="F60" s="2" t="s">
        <v>1865</v>
      </c>
      <c r="G60" s="2" t="s">
        <v>1866</v>
      </c>
      <c r="H60" s="4" t="s">
        <v>58</v>
      </c>
      <c r="I60" s="2" t="s">
        <v>2084</v>
      </c>
      <c r="J60" s="2" t="s">
        <v>2085</v>
      </c>
      <c r="K60" s="4" t="n">
        <v>1</v>
      </c>
      <c r="L60" s="5" t="n">
        <v>550000</v>
      </c>
      <c r="M60" s="6" t="n">
        <f aca="false">K60*L60</f>
        <v>550000</v>
      </c>
      <c r="N60" s="5" t="n">
        <v>0</v>
      </c>
      <c r="O60" s="6" t="n">
        <f aca="false">M60-N60</f>
        <v>550000</v>
      </c>
      <c r="P60" s="7" t="n">
        <v>0.12</v>
      </c>
      <c r="Q60" s="6" t="n">
        <f aca="false">ROUND(O60*P60/2,0)</f>
        <v>33000</v>
      </c>
      <c r="R60" s="6" t="n">
        <f aca="false">ROUND(O60*P60/2,0)</f>
        <v>33000</v>
      </c>
      <c r="S60" s="6" t="n">
        <v>0</v>
      </c>
      <c r="T60" s="6" t="n">
        <f aca="false">O60+Q60+R60+S60</f>
        <v>616000</v>
      </c>
      <c r="U60" s="5" t="n">
        <v>616000</v>
      </c>
      <c r="V60" s="6" t="n">
        <f aca="false">T60-U60</f>
        <v>0</v>
      </c>
      <c r="W60" s="4" t="s">
        <v>1960</v>
      </c>
      <c r="X60" s="3" t="n">
        <v>45793</v>
      </c>
      <c r="Y60" s="4" t="s">
        <v>99</v>
      </c>
      <c r="Z60" s="2" t="s">
        <v>360</v>
      </c>
      <c r="AA60" s="2" t="s">
        <v>2081</v>
      </c>
    </row>
    <row r="61" customFormat="false" ht="15" hidden="false" customHeight="false" outlineLevel="0" collapsed="false">
      <c r="A61" s="2" t="s">
        <v>2086</v>
      </c>
      <c r="B61" s="2" t="s">
        <v>2087</v>
      </c>
      <c r="C61" s="3" t="n">
        <v>45762</v>
      </c>
      <c r="D61" s="3" t="n">
        <v>45792</v>
      </c>
      <c r="E61" s="4" t="s">
        <v>2068</v>
      </c>
      <c r="F61" s="2" t="s">
        <v>764</v>
      </c>
      <c r="G61" s="2" t="s">
        <v>765</v>
      </c>
      <c r="H61" s="4" t="s">
        <v>58</v>
      </c>
      <c r="I61" s="2" t="s">
        <v>2088</v>
      </c>
      <c r="J61" s="2" t="s">
        <v>2089</v>
      </c>
      <c r="K61" s="4" t="n">
        <v>52</v>
      </c>
      <c r="L61" s="5" t="n">
        <v>2200</v>
      </c>
      <c r="M61" s="6" t="n">
        <f aca="false">K61*L61</f>
        <v>114400</v>
      </c>
      <c r="N61" s="5" t="n">
        <v>5720</v>
      </c>
      <c r="O61" s="6" t="n">
        <f aca="false">M61-N61</f>
        <v>108680</v>
      </c>
      <c r="P61" s="7" t="n">
        <v>0.18</v>
      </c>
      <c r="Q61" s="6" t="n">
        <v>0</v>
      </c>
      <c r="R61" s="6" t="n">
        <v>0</v>
      </c>
      <c r="S61" s="6" t="n">
        <f aca="false">ROUND(O61*P61,0)</f>
        <v>19562</v>
      </c>
      <c r="T61" s="6" t="n">
        <f aca="false">O61+Q61+R61+S61</f>
        <v>128242</v>
      </c>
      <c r="U61" s="5" t="n">
        <v>128242</v>
      </c>
      <c r="V61" s="6" t="n">
        <f aca="false">T61-U61</f>
        <v>0</v>
      </c>
      <c r="W61" s="4" t="s">
        <v>1960</v>
      </c>
      <c r="X61" s="3" t="n">
        <v>45793</v>
      </c>
      <c r="Y61" s="4" t="s">
        <v>99</v>
      </c>
      <c r="Z61" s="2" t="s">
        <v>360</v>
      </c>
      <c r="AA61" s="2" t="s">
        <v>2081</v>
      </c>
    </row>
    <row r="62" customFormat="false" ht="15" hidden="false" customHeight="false" outlineLevel="0" collapsed="false">
      <c r="A62" s="2" t="s">
        <v>2090</v>
      </c>
      <c r="B62" s="2" t="s">
        <v>205</v>
      </c>
      <c r="C62" s="3" t="n">
        <v>45766</v>
      </c>
      <c r="D62" s="3" t="n">
        <v>45796</v>
      </c>
      <c r="E62" s="4" t="s">
        <v>2068</v>
      </c>
      <c r="F62" s="2" t="s">
        <v>201</v>
      </c>
      <c r="G62" s="2" t="s">
        <v>202</v>
      </c>
      <c r="H62" s="4" t="s">
        <v>58</v>
      </c>
      <c r="I62" s="2" t="s">
        <v>2091</v>
      </c>
      <c r="J62" s="2" t="s">
        <v>2092</v>
      </c>
      <c r="K62" s="4" t="n">
        <v>1</v>
      </c>
      <c r="L62" s="5" t="n">
        <v>250000</v>
      </c>
      <c r="M62" s="6" t="n">
        <f aca="false">K62*L62</f>
        <v>250000</v>
      </c>
      <c r="N62" s="5" t="n">
        <v>7500</v>
      </c>
      <c r="O62" s="6" t="n">
        <f aca="false">M62-N62</f>
        <v>242500</v>
      </c>
      <c r="P62" s="7" t="n">
        <v>0.18</v>
      </c>
      <c r="Q62" s="6" t="n">
        <f aca="false">ROUND(O62*P62/2,0)</f>
        <v>21825</v>
      </c>
      <c r="R62" s="6" t="n">
        <f aca="false">ROUND(O62*P62/2,0)</f>
        <v>21825</v>
      </c>
      <c r="S62" s="6" t="n">
        <v>0</v>
      </c>
      <c r="T62" s="6" t="n">
        <f aca="false">O62+Q62+R62+S62</f>
        <v>286150</v>
      </c>
      <c r="U62" s="5" t="n">
        <v>286150</v>
      </c>
      <c r="V62" s="6" t="n">
        <f aca="false">T62-U62</f>
        <v>0</v>
      </c>
      <c r="W62" s="4" t="s">
        <v>1960</v>
      </c>
      <c r="X62" s="3" t="n">
        <v>45769</v>
      </c>
      <c r="Y62" s="4" t="s">
        <v>180</v>
      </c>
      <c r="Z62" s="2" t="s">
        <v>198</v>
      </c>
      <c r="AA62" s="2"/>
    </row>
    <row r="63" customFormat="false" ht="15" hidden="false" customHeight="false" outlineLevel="0" collapsed="false">
      <c r="A63" s="2" t="s">
        <v>2093</v>
      </c>
      <c r="B63" s="2" t="s">
        <v>319</v>
      </c>
      <c r="C63" s="3" t="n">
        <v>45767</v>
      </c>
      <c r="D63" s="3" t="n">
        <v>45797</v>
      </c>
      <c r="E63" s="4" t="s">
        <v>2068</v>
      </c>
      <c r="F63" s="2" t="s">
        <v>77</v>
      </c>
      <c r="G63" s="2" t="s">
        <v>78</v>
      </c>
      <c r="H63" s="4" t="s">
        <v>58</v>
      </c>
      <c r="I63" s="2" t="s">
        <v>2094</v>
      </c>
      <c r="J63" s="2" t="s">
        <v>2080</v>
      </c>
      <c r="K63" s="4" t="n">
        <v>1</v>
      </c>
      <c r="L63" s="5" t="n">
        <v>130000</v>
      </c>
      <c r="M63" s="6" t="n">
        <f aca="false">K63*L63</f>
        <v>130000</v>
      </c>
      <c r="N63" s="5" t="n">
        <v>0</v>
      </c>
      <c r="O63" s="6" t="n">
        <f aca="false">M63-N63</f>
        <v>130000</v>
      </c>
      <c r="P63" s="7" t="n">
        <v>0.18</v>
      </c>
      <c r="Q63" s="6" t="n">
        <v>0</v>
      </c>
      <c r="R63" s="6" t="n">
        <v>0</v>
      </c>
      <c r="S63" s="6" t="n">
        <f aca="false">ROUND(O63*P63,0)</f>
        <v>23400</v>
      </c>
      <c r="T63" s="6" t="n">
        <f aca="false">O63+Q63+R63+S63</f>
        <v>153400</v>
      </c>
      <c r="U63" s="5" t="n">
        <v>153400</v>
      </c>
      <c r="V63" s="6" t="n">
        <f aca="false">T63-U63</f>
        <v>0</v>
      </c>
      <c r="W63" s="4" t="s">
        <v>1960</v>
      </c>
      <c r="X63" s="3" t="n">
        <v>45783</v>
      </c>
      <c r="Y63" s="4" t="s">
        <v>99</v>
      </c>
      <c r="Z63" s="2" t="s">
        <v>314</v>
      </c>
      <c r="AA63" s="2"/>
    </row>
    <row r="64" customFormat="false" ht="15" hidden="false" customHeight="false" outlineLevel="0" collapsed="false">
      <c r="A64" s="2" t="s">
        <v>2095</v>
      </c>
      <c r="B64" s="2" t="s">
        <v>450</v>
      </c>
      <c r="C64" s="3" t="n">
        <v>45785</v>
      </c>
      <c r="D64" s="3" t="n">
        <v>45800</v>
      </c>
      <c r="E64" s="4" t="s">
        <v>2068</v>
      </c>
      <c r="F64" s="2" t="s">
        <v>447</v>
      </c>
      <c r="G64" s="2" t="s">
        <v>448</v>
      </c>
      <c r="H64" s="4" t="s">
        <v>58</v>
      </c>
      <c r="I64" s="2" t="s">
        <v>2096</v>
      </c>
      <c r="J64" s="2" t="s">
        <v>2097</v>
      </c>
      <c r="K64" s="4" t="n">
        <v>1</v>
      </c>
      <c r="L64" s="5" t="n">
        <v>700000</v>
      </c>
      <c r="M64" s="6" t="n">
        <f aca="false">K64*L64</f>
        <v>700000</v>
      </c>
      <c r="N64" s="5" t="n">
        <v>0</v>
      </c>
      <c r="O64" s="6" t="n">
        <f aca="false">M64-N64</f>
        <v>700000</v>
      </c>
      <c r="P64" s="7" t="n">
        <v>0.18</v>
      </c>
      <c r="Q64" s="6" t="n">
        <f aca="false">ROUND(O64*P64/2,0)</f>
        <v>63000</v>
      </c>
      <c r="R64" s="6" t="n">
        <f aca="false">ROUND(O64*P64/2,0)</f>
        <v>63000</v>
      </c>
      <c r="S64" s="6" t="n">
        <v>0</v>
      </c>
      <c r="T64" s="6" t="n">
        <f aca="false">O64+Q64+R64+S64</f>
        <v>826000</v>
      </c>
      <c r="U64" s="5" t="n">
        <v>826000</v>
      </c>
      <c r="V64" s="6" t="n">
        <f aca="false">T64-U64</f>
        <v>0</v>
      </c>
      <c r="W64" s="4" t="s">
        <v>1960</v>
      </c>
      <c r="X64" s="3" t="n">
        <v>45808</v>
      </c>
      <c r="Y64" s="4" t="s">
        <v>99</v>
      </c>
      <c r="Z64" s="2" t="s">
        <v>444</v>
      </c>
      <c r="AA64" s="2"/>
    </row>
    <row r="65" customFormat="false" ht="15" hidden="false" customHeight="false" outlineLevel="0" collapsed="false">
      <c r="A65" s="2" t="s">
        <v>2098</v>
      </c>
      <c r="B65" s="2" t="s">
        <v>355</v>
      </c>
      <c r="C65" s="3" t="n">
        <v>45786</v>
      </c>
      <c r="D65" s="3" t="n">
        <v>45816</v>
      </c>
      <c r="E65" s="4" t="s">
        <v>2068</v>
      </c>
      <c r="F65" s="2" t="s">
        <v>351</v>
      </c>
      <c r="G65" s="2" t="s">
        <v>352</v>
      </c>
      <c r="H65" s="4" t="s">
        <v>58</v>
      </c>
      <c r="I65" s="2" t="s">
        <v>2099</v>
      </c>
      <c r="J65" s="2" t="s">
        <v>2100</v>
      </c>
      <c r="K65" s="4" t="n">
        <v>1</v>
      </c>
      <c r="L65" s="5" t="n">
        <v>400000</v>
      </c>
      <c r="M65" s="6" t="n">
        <f aca="false">K65*L65</f>
        <v>400000</v>
      </c>
      <c r="N65" s="5" t="n">
        <v>20000</v>
      </c>
      <c r="O65" s="6" t="n">
        <f aca="false">M65-N65</f>
        <v>380000</v>
      </c>
      <c r="P65" s="7" t="n">
        <v>0.12</v>
      </c>
      <c r="Q65" s="6" t="n">
        <v>0</v>
      </c>
      <c r="R65" s="6" t="n">
        <v>0</v>
      </c>
      <c r="S65" s="6" t="n">
        <f aca="false">ROUND(O65*P65,0)</f>
        <v>45600</v>
      </c>
      <c r="T65" s="6" t="n">
        <f aca="false">O65+Q65+R65+S65</f>
        <v>425600</v>
      </c>
      <c r="U65" s="5" t="n">
        <v>425600</v>
      </c>
      <c r="V65" s="6" t="n">
        <f aca="false">T65-U65</f>
        <v>0</v>
      </c>
      <c r="W65" s="4" t="s">
        <v>1960</v>
      </c>
      <c r="X65" s="3" t="n">
        <v>45805</v>
      </c>
      <c r="Y65" s="4" t="s">
        <v>1970</v>
      </c>
      <c r="Z65" s="2" t="s">
        <v>2101</v>
      </c>
      <c r="AA65" s="2" t="s">
        <v>1972</v>
      </c>
    </row>
    <row r="66" customFormat="false" ht="15" hidden="false" customHeight="false" outlineLevel="0" collapsed="false">
      <c r="A66" s="2" t="s">
        <v>2102</v>
      </c>
      <c r="B66" s="2" t="s">
        <v>523</v>
      </c>
      <c r="C66" s="3" t="n">
        <v>45786</v>
      </c>
      <c r="D66" s="3" t="n">
        <v>45816</v>
      </c>
      <c r="E66" s="4" t="s">
        <v>2068</v>
      </c>
      <c r="F66" s="2" t="s">
        <v>519</v>
      </c>
      <c r="G66" s="2" t="s">
        <v>520</v>
      </c>
      <c r="H66" s="4" t="s">
        <v>58</v>
      </c>
      <c r="I66" s="2" t="s">
        <v>2103</v>
      </c>
      <c r="J66" s="2" t="s">
        <v>2104</v>
      </c>
      <c r="K66" s="4" t="n">
        <v>1</v>
      </c>
      <c r="L66" s="5" t="n">
        <v>700000</v>
      </c>
      <c r="M66" s="6" t="n">
        <f aca="false">K66*L66</f>
        <v>700000</v>
      </c>
      <c r="N66" s="5" t="n">
        <v>21000</v>
      </c>
      <c r="O66" s="6" t="n">
        <f aca="false">M66-N66</f>
        <v>679000</v>
      </c>
      <c r="P66" s="7" t="n">
        <v>0.18</v>
      </c>
      <c r="Q66" s="6" t="n">
        <f aca="false">ROUND(O66*P66/2,0)</f>
        <v>61110</v>
      </c>
      <c r="R66" s="6" t="n">
        <f aca="false">ROUND(O66*P66/2,0)</f>
        <v>61110</v>
      </c>
      <c r="S66" s="6" t="n">
        <v>0</v>
      </c>
      <c r="T66" s="6" t="n">
        <f aca="false">O66+Q66+R66+S66</f>
        <v>801220</v>
      </c>
      <c r="U66" s="5" t="n">
        <v>364000</v>
      </c>
      <c r="V66" s="6" t="n">
        <f aca="false">T66-U66</f>
        <v>437220</v>
      </c>
      <c r="W66" s="4" t="s">
        <v>1957</v>
      </c>
      <c r="X66" s="3" t="n">
        <v>45827</v>
      </c>
      <c r="Y66" s="4" t="s">
        <v>53</v>
      </c>
      <c r="Z66" s="2" t="s">
        <v>516</v>
      </c>
      <c r="AA66" s="2"/>
    </row>
    <row r="67" customFormat="false" ht="15" hidden="false" customHeight="false" outlineLevel="0" collapsed="false">
      <c r="A67" s="2" t="s">
        <v>2105</v>
      </c>
      <c r="B67" s="2" t="s">
        <v>457</v>
      </c>
      <c r="C67" s="3" t="n">
        <v>45789</v>
      </c>
      <c r="D67" s="3" t="n">
        <v>45819</v>
      </c>
      <c r="E67" s="4" t="s">
        <v>2068</v>
      </c>
      <c r="F67" s="2" t="s">
        <v>454</v>
      </c>
      <c r="G67" s="2" t="s">
        <v>455</v>
      </c>
      <c r="H67" s="4" t="s">
        <v>58</v>
      </c>
      <c r="I67" s="2" t="s">
        <v>2106</v>
      </c>
      <c r="J67" s="2" t="s">
        <v>2075</v>
      </c>
      <c r="K67" s="4" t="n">
        <v>1</v>
      </c>
      <c r="L67" s="5" t="n">
        <v>200000</v>
      </c>
      <c r="M67" s="6" t="n">
        <f aca="false">K67*L67</f>
        <v>200000</v>
      </c>
      <c r="N67" s="5" t="n">
        <v>16000</v>
      </c>
      <c r="O67" s="6" t="n">
        <f aca="false">M67-N67</f>
        <v>184000</v>
      </c>
      <c r="P67" s="7" t="n">
        <v>0.18</v>
      </c>
      <c r="Q67" s="6" t="n">
        <f aca="false">ROUND(O67*P67/2,0)</f>
        <v>16560</v>
      </c>
      <c r="R67" s="6" t="n">
        <f aca="false">ROUND(O67*P67/2,0)</f>
        <v>16560</v>
      </c>
      <c r="S67" s="6" t="n">
        <v>0</v>
      </c>
      <c r="T67" s="6" t="n">
        <f aca="false">O67+Q67+R67+S67</f>
        <v>217120</v>
      </c>
      <c r="U67" s="5" t="n">
        <v>217120</v>
      </c>
      <c r="V67" s="6" t="n">
        <f aca="false">T67-U67</f>
        <v>0</v>
      </c>
      <c r="W67" s="4" t="s">
        <v>1960</v>
      </c>
      <c r="X67" s="3" t="n">
        <v>45809</v>
      </c>
      <c r="Y67" s="4" t="s">
        <v>99</v>
      </c>
      <c r="Z67" s="2" t="s">
        <v>451</v>
      </c>
      <c r="AA67" s="2"/>
    </row>
    <row r="68" customFormat="false" ht="15" hidden="false" customHeight="false" outlineLevel="0" collapsed="false">
      <c r="A68" s="2" t="s">
        <v>2107</v>
      </c>
      <c r="B68" s="2" t="s">
        <v>406</v>
      </c>
      <c r="C68" s="3" t="n">
        <v>45790</v>
      </c>
      <c r="D68" s="3" t="n">
        <v>45805</v>
      </c>
      <c r="E68" s="4" t="s">
        <v>2068</v>
      </c>
      <c r="F68" s="2" t="s">
        <v>402</v>
      </c>
      <c r="G68" s="2" t="s">
        <v>403</v>
      </c>
      <c r="H68" s="4" t="s">
        <v>58</v>
      </c>
      <c r="I68" s="2" t="s">
        <v>2108</v>
      </c>
      <c r="J68" s="2" t="s">
        <v>2097</v>
      </c>
      <c r="K68" s="4" t="n">
        <v>1</v>
      </c>
      <c r="L68" s="5" t="n">
        <v>100000</v>
      </c>
      <c r="M68" s="6" t="n">
        <f aca="false">K68*L68</f>
        <v>100000</v>
      </c>
      <c r="N68" s="5" t="n">
        <v>0</v>
      </c>
      <c r="O68" s="6" t="n">
        <f aca="false">M68-N68</f>
        <v>100000</v>
      </c>
      <c r="P68" s="7" t="n">
        <v>0.05</v>
      </c>
      <c r="Q68" s="6" t="n">
        <f aca="false">ROUND(O68*P68/2,0)</f>
        <v>2500</v>
      </c>
      <c r="R68" s="6" t="n">
        <f aca="false">ROUND(O68*P68/2,0)</f>
        <v>2500</v>
      </c>
      <c r="S68" s="6" t="n">
        <v>0</v>
      </c>
      <c r="T68" s="6" t="n">
        <f aca="false">O68+Q68+R68+S68</f>
        <v>105000</v>
      </c>
      <c r="U68" s="5" t="n">
        <v>51900</v>
      </c>
      <c r="V68" s="6" t="n">
        <f aca="false">T68-U68</f>
        <v>53100</v>
      </c>
      <c r="W68" s="4" t="s">
        <v>1957</v>
      </c>
      <c r="X68" s="3" t="n">
        <v>45802</v>
      </c>
      <c r="Y68" s="4" t="s">
        <v>74</v>
      </c>
      <c r="Z68" s="2" t="s">
        <v>399</v>
      </c>
      <c r="AA68" s="2"/>
    </row>
    <row r="69" customFormat="false" ht="15" hidden="false" customHeight="false" outlineLevel="0" collapsed="false">
      <c r="A69" s="2" t="s">
        <v>2109</v>
      </c>
      <c r="B69" s="2" t="s">
        <v>478</v>
      </c>
      <c r="C69" s="3" t="n">
        <v>45804</v>
      </c>
      <c r="D69" s="3" t="n">
        <v>45819</v>
      </c>
      <c r="E69" s="4" t="s">
        <v>2068</v>
      </c>
      <c r="F69" s="2" t="s">
        <v>474</v>
      </c>
      <c r="G69" s="2" t="s">
        <v>475</v>
      </c>
      <c r="H69" s="4" t="s">
        <v>58</v>
      </c>
      <c r="I69" s="2" t="s">
        <v>2110</v>
      </c>
      <c r="J69" s="2" t="s">
        <v>2111</v>
      </c>
      <c r="K69" s="4" t="n">
        <v>1</v>
      </c>
      <c r="L69" s="5" t="n">
        <v>400000</v>
      </c>
      <c r="M69" s="6" t="n">
        <f aca="false">K69*L69</f>
        <v>400000</v>
      </c>
      <c r="N69" s="5" t="n">
        <v>12000</v>
      </c>
      <c r="O69" s="6" t="n">
        <f aca="false">M69-N69</f>
        <v>388000</v>
      </c>
      <c r="P69" s="7" t="n">
        <v>0.28</v>
      </c>
      <c r="Q69" s="6" t="n">
        <v>0</v>
      </c>
      <c r="R69" s="6" t="n">
        <v>0</v>
      </c>
      <c r="S69" s="6" t="n">
        <f aca="false">ROUND(O69*P69,0)</f>
        <v>108640</v>
      </c>
      <c r="T69" s="6" t="n">
        <f aca="false">O69+Q69+R69+S69</f>
        <v>496640</v>
      </c>
      <c r="U69" s="5" t="n">
        <v>496640</v>
      </c>
      <c r="V69" s="6" t="n">
        <f aca="false">T69-U69</f>
        <v>0</v>
      </c>
      <c r="W69" s="4" t="s">
        <v>1960</v>
      </c>
      <c r="X69" s="3" t="n">
        <v>45819</v>
      </c>
      <c r="Y69" s="4" t="s">
        <v>1970</v>
      </c>
      <c r="Z69" s="2" t="s">
        <v>2112</v>
      </c>
      <c r="AA69" s="2" t="s">
        <v>1972</v>
      </c>
    </row>
    <row r="70" customFormat="false" ht="15" hidden="false" customHeight="false" outlineLevel="0" collapsed="false">
      <c r="A70" s="2" t="s">
        <v>2113</v>
      </c>
      <c r="B70" s="2" t="s">
        <v>642</v>
      </c>
      <c r="C70" s="3" t="n">
        <v>45807</v>
      </c>
      <c r="D70" s="3" t="n">
        <v>45837</v>
      </c>
      <c r="E70" s="4" t="s">
        <v>2068</v>
      </c>
      <c r="F70" s="2" t="s">
        <v>639</v>
      </c>
      <c r="G70" s="2" t="s">
        <v>640</v>
      </c>
      <c r="H70" s="4" t="s">
        <v>58</v>
      </c>
      <c r="I70" s="2" t="s">
        <v>2114</v>
      </c>
      <c r="J70" s="2" t="s">
        <v>2070</v>
      </c>
      <c r="K70" s="4" t="n">
        <v>1</v>
      </c>
      <c r="L70" s="5" t="n">
        <v>320000</v>
      </c>
      <c r="M70" s="6" t="n">
        <f aca="false">K70*L70</f>
        <v>320000</v>
      </c>
      <c r="N70" s="5" t="n">
        <v>25600</v>
      </c>
      <c r="O70" s="6" t="n">
        <f aca="false">M70-N70</f>
        <v>294400</v>
      </c>
      <c r="P70" s="7" t="n">
        <v>0.18</v>
      </c>
      <c r="Q70" s="6" t="n">
        <f aca="false">ROUND(O70*P70/2,0)</f>
        <v>26496</v>
      </c>
      <c r="R70" s="6" t="n">
        <f aca="false">ROUND(O70*P70/2,0)</f>
        <v>26496</v>
      </c>
      <c r="S70" s="6" t="n">
        <v>0</v>
      </c>
      <c r="T70" s="6" t="n">
        <f aca="false">O70+Q70+R70+S70</f>
        <v>347392</v>
      </c>
      <c r="U70" s="5" t="n">
        <v>347392</v>
      </c>
      <c r="V70" s="6" t="n">
        <f aca="false">T70-U70</f>
        <v>0</v>
      </c>
      <c r="W70" s="4" t="s">
        <v>1960</v>
      </c>
      <c r="X70" s="3" t="n">
        <v>45845</v>
      </c>
      <c r="Y70" s="4" t="s">
        <v>99</v>
      </c>
      <c r="Z70" s="2" t="s">
        <v>636</v>
      </c>
      <c r="AA70" s="2"/>
    </row>
    <row r="71" customFormat="false" ht="15" hidden="false" customHeight="false" outlineLevel="0" collapsed="false">
      <c r="A71" s="2" t="s">
        <v>2115</v>
      </c>
      <c r="B71" s="2" t="s">
        <v>537</v>
      </c>
      <c r="C71" s="3" t="n">
        <v>45815</v>
      </c>
      <c r="D71" s="3" t="n">
        <v>45845</v>
      </c>
      <c r="E71" s="4" t="s">
        <v>2068</v>
      </c>
      <c r="F71" s="2" t="s">
        <v>533</v>
      </c>
      <c r="G71" s="2" t="s">
        <v>534</v>
      </c>
      <c r="H71" s="4" t="s">
        <v>58</v>
      </c>
      <c r="I71" s="2" t="s">
        <v>2116</v>
      </c>
      <c r="J71" s="2" t="s">
        <v>2117</v>
      </c>
      <c r="K71" s="4" t="n">
        <v>55</v>
      </c>
      <c r="L71" s="5" t="n">
        <v>2200</v>
      </c>
      <c r="M71" s="6" t="n">
        <f aca="false">K71*L71</f>
        <v>121000</v>
      </c>
      <c r="N71" s="5" t="n">
        <v>0</v>
      </c>
      <c r="O71" s="6" t="n">
        <f aca="false">M71-N71</f>
        <v>121000</v>
      </c>
      <c r="P71" s="7" t="n">
        <v>0.28</v>
      </c>
      <c r="Q71" s="6" t="n">
        <f aca="false">ROUND(O71*P71/2,0)</f>
        <v>16940</v>
      </c>
      <c r="R71" s="6" t="n">
        <f aca="false">ROUND(O71*P71/2,0)</f>
        <v>16940</v>
      </c>
      <c r="S71" s="6" t="n">
        <v>0</v>
      </c>
      <c r="T71" s="6" t="n">
        <f aca="false">O71+Q71+R71+S71</f>
        <v>154880</v>
      </c>
      <c r="U71" s="5" t="n">
        <v>154880</v>
      </c>
      <c r="V71" s="6" t="n">
        <f aca="false">T71-U71</f>
        <v>0</v>
      </c>
      <c r="W71" s="4" t="s">
        <v>1960</v>
      </c>
      <c r="X71" s="3" t="n">
        <v>45830</v>
      </c>
      <c r="Y71" s="4" t="s">
        <v>53</v>
      </c>
      <c r="Z71" s="2" t="s">
        <v>530</v>
      </c>
      <c r="AA71" s="2"/>
    </row>
    <row r="72" customFormat="false" ht="15" hidden="false" customHeight="false" outlineLevel="0" collapsed="false">
      <c r="A72" s="2" t="s">
        <v>2118</v>
      </c>
      <c r="B72" s="2" t="s">
        <v>512</v>
      </c>
      <c r="C72" s="3" t="n">
        <v>45822</v>
      </c>
      <c r="D72" s="3" t="n">
        <v>45837</v>
      </c>
      <c r="E72" s="4" t="s">
        <v>2068</v>
      </c>
      <c r="F72" s="2" t="s">
        <v>509</v>
      </c>
      <c r="G72" s="2" t="s">
        <v>510</v>
      </c>
      <c r="H72" s="4" t="s">
        <v>58</v>
      </c>
      <c r="I72" s="2" t="s">
        <v>2119</v>
      </c>
      <c r="J72" s="2" t="s">
        <v>2111</v>
      </c>
      <c r="K72" s="4" t="n">
        <v>1</v>
      </c>
      <c r="L72" s="5" t="n">
        <v>160000</v>
      </c>
      <c r="M72" s="6" t="n">
        <f aca="false">K72*L72</f>
        <v>160000</v>
      </c>
      <c r="N72" s="5" t="n">
        <v>0</v>
      </c>
      <c r="O72" s="6" t="n">
        <f aca="false">M72-N72</f>
        <v>160000</v>
      </c>
      <c r="P72" s="7" t="n">
        <v>0.28</v>
      </c>
      <c r="Q72" s="6" t="n">
        <v>0</v>
      </c>
      <c r="R72" s="6" t="n">
        <v>0</v>
      </c>
      <c r="S72" s="6" t="n">
        <f aca="false">ROUND(O72*P72,0)</f>
        <v>44800</v>
      </c>
      <c r="T72" s="6" t="n">
        <f aca="false">O72+Q72+R72+S72</f>
        <v>204800</v>
      </c>
      <c r="U72" s="5" t="n">
        <v>204800</v>
      </c>
      <c r="V72" s="6" t="n">
        <f aca="false">T72-U72</f>
        <v>0</v>
      </c>
      <c r="W72" s="4" t="s">
        <v>1960</v>
      </c>
      <c r="X72" s="3" t="n">
        <v>45830</v>
      </c>
      <c r="Y72" s="4" t="s">
        <v>1970</v>
      </c>
      <c r="Z72" s="2" t="s">
        <v>2120</v>
      </c>
      <c r="AA72" s="2" t="s">
        <v>1972</v>
      </c>
    </row>
    <row r="73" customFormat="false" ht="15" hidden="false" customHeight="false" outlineLevel="0" collapsed="false">
      <c r="A73" s="2" t="s">
        <v>2121</v>
      </c>
      <c r="B73" s="2" t="s">
        <v>2122</v>
      </c>
      <c r="C73" s="3" t="n">
        <v>45847</v>
      </c>
      <c r="D73" s="3" t="n">
        <v>46100</v>
      </c>
      <c r="E73" s="4" t="s">
        <v>2068</v>
      </c>
      <c r="F73" s="2" t="s">
        <v>519</v>
      </c>
      <c r="G73" s="2" t="s">
        <v>520</v>
      </c>
      <c r="H73" s="4" t="s">
        <v>58</v>
      </c>
      <c r="I73" s="2" t="s">
        <v>2123</v>
      </c>
      <c r="J73" s="2" t="s">
        <v>2124</v>
      </c>
      <c r="K73" s="4" t="n">
        <v>1</v>
      </c>
      <c r="L73" s="5" t="n">
        <v>100000</v>
      </c>
      <c r="M73" s="6" t="n">
        <f aca="false">K73*L73</f>
        <v>100000</v>
      </c>
      <c r="N73" s="5" t="n">
        <v>0</v>
      </c>
      <c r="O73" s="6" t="n">
        <f aca="false">M73-N73</f>
        <v>100000</v>
      </c>
      <c r="P73" s="7" t="n">
        <v>0.18</v>
      </c>
      <c r="Q73" s="6" t="n">
        <f aca="false">ROUND(O73*P73/2,0)</f>
        <v>9000</v>
      </c>
      <c r="R73" s="6" t="n">
        <f aca="false">ROUND(O73*P73/2,0)</f>
        <v>9000</v>
      </c>
      <c r="S73" s="6" t="n">
        <v>0</v>
      </c>
      <c r="T73" s="6" t="n">
        <f aca="false">O73+Q73+R73+S73</f>
        <v>118000</v>
      </c>
      <c r="U73" s="5" t="n">
        <v>0</v>
      </c>
      <c r="V73" s="6" t="n">
        <f aca="false">T73-U73</f>
        <v>118000</v>
      </c>
      <c r="W73" s="4" t="s">
        <v>1990</v>
      </c>
      <c r="X73" s="3"/>
      <c r="Y73" s="4"/>
      <c r="Z73" s="2"/>
      <c r="AA73" s="2"/>
    </row>
    <row r="74" customFormat="false" ht="15" hidden="false" customHeight="false" outlineLevel="0" collapsed="false">
      <c r="A74" s="2" t="s">
        <v>2125</v>
      </c>
      <c r="B74" s="2" t="s">
        <v>737</v>
      </c>
      <c r="C74" s="3" t="n">
        <v>45861</v>
      </c>
      <c r="D74" s="3" t="n">
        <v>45891</v>
      </c>
      <c r="E74" s="4" t="s">
        <v>2068</v>
      </c>
      <c r="F74" s="2" t="s">
        <v>447</v>
      </c>
      <c r="G74" s="2" t="s">
        <v>448</v>
      </c>
      <c r="H74" s="4" t="s">
        <v>58</v>
      </c>
      <c r="I74" s="2" t="s">
        <v>2126</v>
      </c>
      <c r="J74" s="2" t="s">
        <v>2089</v>
      </c>
      <c r="K74" s="4" t="n">
        <v>38</v>
      </c>
      <c r="L74" s="5" t="n">
        <v>4000</v>
      </c>
      <c r="M74" s="6" t="n">
        <f aca="false">K74*L74</f>
        <v>152000</v>
      </c>
      <c r="N74" s="5" t="n">
        <v>4560</v>
      </c>
      <c r="O74" s="6" t="n">
        <f aca="false">M74-N74</f>
        <v>147440</v>
      </c>
      <c r="P74" s="7" t="n">
        <v>0.12</v>
      </c>
      <c r="Q74" s="6" t="n">
        <f aca="false">ROUND(O74*P74/2,0)</f>
        <v>8846</v>
      </c>
      <c r="R74" s="6" t="n">
        <f aca="false">ROUND(O74*P74/2,0)</f>
        <v>8846</v>
      </c>
      <c r="S74" s="6" t="n">
        <v>0</v>
      </c>
      <c r="T74" s="6" t="n">
        <f aca="false">O74+Q74+R74+S74</f>
        <v>165132</v>
      </c>
      <c r="U74" s="5" t="n">
        <v>56600</v>
      </c>
      <c r="V74" s="6" t="n">
        <f aca="false">T74-U74</f>
        <v>108532</v>
      </c>
      <c r="W74" s="4" t="s">
        <v>1957</v>
      </c>
      <c r="X74" s="3" t="n">
        <v>45886</v>
      </c>
      <c r="Y74" s="4" t="s">
        <v>685</v>
      </c>
      <c r="Z74" s="2" t="s">
        <v>733</v>
      </c>
      <c r="AA74" s="2"/>
    </row>
    <row r="75" customFormat="false" ht="15" hidden="false" customHeight="false" outlineLevel="0" collapsed="false">
      <c r="A75" s="2" t="s">
        <v>2127</v>
      </c>
      <c r="B75" s="2" t="s">
        <v>712</v>
      </c>
      <c r="C75" s="3" t="n">
        <v>45861</v>
      </c>
      <c r="D75" s="3" t="n">
        <v>45876</v>
      </c>
      <c r="E75" s="4" t="s">
        <v>2068</v>
      </c>
      <c r="F75" s="2" t="s">
        <v>519</v>
      </c>
      <c r="G75" s="2" t="s">
        <v>520</v>
      </c>
      <c r="H75" s="4" t="s">
        <v>58</v>
      </c>
      <c r="I75" s="2" t="s">
        <v>2128</v>
      </c>
      <c r="J75" s="2" t="s">
        <v>2089</v>
      </c>
      <c r="K75" s="4" t="n">
        <v>19</v>
      </c>
      <c r="L75" s="5" t="n">
        <v>3400</v>
      </c>
      <c r="M75" s="6" t="n">
        <f aca="false">K75*L75</f>
        <v>64600</v>
      </c>
      <c r="N75" s="5" t="n">
        <v>0</v>
      </c>
      <c r="O75" s="6" t="n">
        <f aca="false">M75-N75</f>
        <v>64600</v>
      </c>
      <c r="P75" s="7" t="n">
        <v>0.28</v>
      </c>
      <c r="Q75" s="6" t="n">
        <f aca="false">ROUND(O75*P75/2,0)</f>
        <v>9044</v>
      </c>
      <c r="R75" s="6" t="n">
        <f aca="false">ROUND(O75*P75/2,0)</f>
        <v>9044</v>
      </c>
      <c r="S75" s="6" t="n">
        <v>0</v>
      </c>
      <c r="T75" s="6" t="n">
        <f aca="false">O75+Q75+R75+S75</f>
        <v>82688</v>
      </c>
      <c r="U75" s="5" t="n">
        <v>46800</v>
      </c>
      <c r="V75" s="6" t="n">
        <f aca="false">T75-U75</f>
        <v>35888</v>
      </c>
      <c r="W75" s="4" t="s">
        <v>1957</v>
      </c>
      <c r="X75" s="3" t="n">
        <v>45876</v>
      </c>
      <c r="Y75" s="4" t="s">
        <v>53</v>
      </c>
      <c r="Z75" s="2" t="s">
        <v>708</v>
      </c>
      <c r="AA75" s="2"/>
    </row>
    <row r="76" customFormat="false" ht="15" hidden="false" customHeight="false" outlineLevel="0" collapsed="false">
      <c r="A76" s="2" t="s">
        <v>2129</v>
      </c>
      <c r="B76" s="2" t="s">
        <v>759</v>
      </c>
      <c r="C76" s="3" t="n">
        <v>45865</v>
      </c>
      <c r="D76" s="3" t="n">
        <v>45880</v>
      </c>
      <c r="E76" s="4" t="s">
        <v>2068</v>
      </c>
      <c r="F76" s="2" t="s">
        <v>756</v>
      </c>
      <c r="G76" s="2" t="s">
        <v>757</v>
      </c>
      <c r="H76" s="4" t="s">
        <v>58</v>
      </c>
      <c r="I76" s="2" t="s">
        <v>2130</v>
      </c>
      <c r="J76" s="2" t="s">
        <v>2111</v>
      </c>
      <c r="K76" s="4" t="n">
        <v>1</v>
      </c>
      <c r="L76" s="5" t="n">
        <v>700000</v>
      </c>
      <c r="M76" s="6" t="n">
        <f aca="false">K76*L76</f>
        <v>700000</v>
      </c>
      <c r="N76" s="5" t="n">
        <v>0</v>
      </c>
      <c r="O76" s="6" t="n">
        <f aca="false">M76-N76</f>
        <v>700000</v>
      </c>
      <c r="P76" s="7" t="n">
        <v>0.12</v>
      </c>
      <c r="Q76" s="6" t="n">
        <v>0</v>
      </c>
      <c r="R76" s="6" t="n">
        <v>0</v>
      </c>
      <c r="S76" s="6" t="n">
        <f aca="false">ROUND(O76*P76,0)</f>
        <v>84000</v>
      </c>
      <c r="T76" s="6" t="n">
        <f aca="false">O76+Q76+R76+S76</f>
        <v>784000</v>
      </c>
      <c r="U76" s="5" t="n">
        <v>784000</v>
      </c>
      <c r="V76" s="6" t="n">
        <f aca="false">T76-U76</f>
        <v>0</v>
      </c>
      <c r="W76" s="4" t="s">
        <v>1960</v>
      </c>
      <c r="X76" s="3" t="n">
        <v>45895</v>
      </c>
      <c r="Y76" s="4" t="s">
        <v>74</v>
      </c>
      <c r="Z76" s="2" t="s">
        <v>2131</v>
      </c>
      <c r="AA76" s="2" t="s">
        <v>1972</v>
      </c>
    </row>
    <row r="77" customFormat="false" ht="15" hidden="false" customHeight="false" outlineLevel="0" collapsed="false">
      <c r="A77" s="2" t="s">
        <v>2132</v>
      </c>
      <c r="B77" s="2" t="s">
        <v>696</v>
      </c>
      <c r="C77" s="3" t="n">
        <v>45870</v>
      </c>
      <c r="D77" s="3" t="n">
        <v>45915</v>
      </c>
      <c r="E77" s="4" t="s">
        <v>2068</v>
      </c>
      <c r="F77" s="2" t="s">
        <v>693</v>
      </c>
      <c r="G77" s="2" t="s">
        <v>694</v>
      </c>
      <c r="H77" s="4" t="s">
        <v>58</v>
      </c>
      <c r="I77" s="2" t="s">
        <v>2133</v>
      </c>
      <c r="J77" s="2" t="s">
        <v>2117</v>
      </c>
      <c r="K77" s="4" t="n">
        <v>47</v>
      </c>
      <c r="L77" s="5" t="n">
        <v>3400</v>
      </c>
      <c r="M77" s="6" t="n">
        <f aca="false">K77*L77</f>
        <v>159800</v>
      </c>
      <c r="N77" s="5" t="n">
        <v>4790</v>
      </c>
      <c r="O77" s="6" t="n">
        <f aca="false">M77-N77</f>
        <v>155010</v>
      </c>
      <c r="P77" s="7" t="n">
        <v>0.18</v>
      </c>
      <c r="Q77" s="6" t="n">
        <f aca="false">ROUND(O77*P77/2,0)</f>
        <v>13951</v>
      </c>
      <c r="R77" s="6" t="n">
        <f aca="false">ROUND(O77*P77/2,0)</f>
        <v>13951</v>
      </c>
      <c r="S77" s="6" t="n">
        <v>0</v>
      </c>
      <c r="T77" s="6" t="n">
        <f aca="false">O77+Q77+R77+S77</f>
        <v>182912</v>
      </c>
      <c r="U77" s="5" t="n">
        <v>182912</v>
      </c>
      <c r="V77" s="6" t="n">
        <f aca="false">T77-U77</f>
        <v>0</v>
      </c>
      <c r="W77" s="4" t="s">
        <v>1960</v>
      </c>
      <c r="X77" s="3" t="n">
        <v>45898</v>
      </c>
      <c r="Y77" s="4" t="s">
        <v>1970</v>
      </c>
      <c r="Z77" s="2" t="s">
        <v>2134</v>
      </c>
      <c r="AA77" s="2" t="s">
        <v>2135</v>
      </c>
    </row>
    <row r="78" customFormat="false" ht="15" hidden="false" customHeight="false" outlineLevel="0" collapsed="false">
      <c r="A78" s="2" t="s">
        <v>2136</v>
      </c>
      <c r="B78" s="2" t="s">
        <v>767</v>
      </c>
      <c r="C78" s="3" t="n">
        <v>45872</v>
      </c>
      <c r="D78" s="3" t="n">
        <v>45917</v>
      </c>
      <c r="E78" s="4" t="s">
        <v>2068</v>
      </c>
      <c r="F78" s="2" t="s">
        <v>764</v>
      </c>
      <c r="G78" s="2" t="s">
        <v>765</v>
      </c>
      <c r="H78" s="4" t="s">
        <v>58</v>
      </c>
      <c r="I78" s="2" t="s">
        <v>2137</v>
      </c>
      <c r="J78" s="2" t="s">
        <v>2117</v>
      </c>
      <c r="K78" s="4" t="n">
        <v>37</v>
      </c>
      <c r="L78" s="5" t="n">
        <v>4000</v>
      </c>
      <c r="M78" s="6" t="n">
        <f aca="false">K78*L78</f>
        <v>148000</v>
      </c>
      <c r="N78" s="5" t="n">
        <v>4440</v>
      </c>
      <c r="O78" s="6" t="n">
        <f aca="false">M78-N78</f>
        <v>143560</v>
      </c>
      <c r="P78" s="7" t="n">
        <v>0.05</v>
      </c>
      <c r="Q78" s="6" t="n">
        <v>0</v>
      </c>
      <c r="R78" s="6" t="n">
        <v>0</v>
      </c>
      <c r="S78" s="6" t="n">
        <f aca="false">ROUND(O78*P78,0)</f>
        <v>7178</v>
      </c>
      <c r="T78" s="6" t="n">
        <f aca="false">O78+Q78+R78+S78</f>
        <v>150738</v>
      </c>
      <c r="U78" s="5" t="n">
        <v>150738</v>
      </c>
      <c r="V78" s="6" t="n">
        <f aca="false">T78-U78</f>
        <v>0</v>
      </c>
      <c r="W78" s="4" t="s">
        <v>1960</v>
      </c>
      <c r="X78" s="3" t="n">
        <v>45893</v>
      </c>
      <c r="Y78" s="4" t="s">
        <v>74</v>
      </c>
      <c r="Z78" s="2" t="s">
        <v>761</v>
      </c>
      <c r="AA78" s="2"/>
    </row>
    <row r="79" customFormat="false" ht="15" hidden="false" customHeight="false" outlineLevel="0" collapsed="false">
      <c r="A79" s="2" t="s">
        <v>2138</v>
      </c>
      <c r="B79" s="2" t="s">
        <v>777</v>
      </c>
      <c r="C79" s="3" t="n">
        <v>45872</v>
      </c>
      <c r="D79" s="3" t="n">
        <v>45887</v>
      </c>
      <c r="E79" s="4" t="s">
        <v>2068</v>
      </c>
      <c r="F79" s="2" t="s">
        <v>77</v>
      </c>
      <c r="G79" s="2" t="s">
        <v>78</v>
      </c>
      <c r="H79" s="4" t="s">
        <v>58</v>
      </c>
      <c r="I79" s="2" t="s">
        <v>2139</v>
      </c>
      <c r="J79" s="2" t="s">
        <v>2100</v>
      </c>
      <c r="K79" s="4" t="n">
        <v>1</v>
      </c>
      <c r="L79" s="5" t="n">
        <v>200000</v>
      </c>
      <c r="M79" s="6" t="n">
        <f aca="false">K79*L79</f>
        <v>200000</v>
      </c>
      <c r="N79" s="5" t="n">
        <v>6000</v>
      </c>
      <c r="O79" s="6" t="n">
        <f aca="false">M79-N79</f>
        <v>194000</v>
      </c>
      <c r="P79" s="7" t="n">
        <v>0.18</v>
      </c>
      <c r="Q79" s="6" t="n">
        <v>0</v>
      </c>
      <c r="R79" s="6" t="n">
        <v>0</v>
      </c>
      <c r="S79" s="6" t="n">
        <f aca="false">ROUND(O79*P79,0)</f>
        <v>34920</v>
      </c>
      <c r="T79" s="6" t="n">
        <f aca="false">O79+Q79+R79+S79</f>
        <v>228920</v>
      </c>
      <c r="U79" s="5" t="n">
        <v>228920</v>
      </c>
      <c r="V79" s="6" t="n">
        <f aca="false">T79-U79</f>
        <v>0</v>
      </c>
      <c r="W79" s="4" t="s">
        <v>1960</v>
      </c>
      <c r="X79" s="3" t="n">
        <v>45896</v>
      </c>
      <c r="Y79" s="4" t="s">
        <v>99</v>
      </c>
      <c r="Z79" s="2" t="s">
        <v>774</v>
      </c>
      <c r="AA79" s="2" t="s">
        <v>2140</v>
      </c>
    </row>
    <row r="80" customFormat="false" ht="15" hidden="false" customHeight="false" outlineLevel="0" collapsed="false">
      <c r="A80" s="2" t="s">
        <v>2141</v>
      </c>
      <c r="B80" s="2" t="s">
        <v>818</v>
      </c>
      <c r="C80" s="3" t="n">
        <v>45877</v>
      </c>
      <c r="D80" s="3" t="n">
        <v>45907</v>
      </c>
      <c r="E80" s="4" t="s">
        <v>2068</v>
      </c>
      <c r="F80" s="2" t="s">
        <v>764</v>
      </c>
      <c r="G80" s="2" t="s">
        <v>765</v>
      </c>
      <c r="H80" s="4" t="s">
        <v>58</v>
      </c>
      <c r="I80" s="2" t="s">
        <v>2142</v>
      </c>
      <c r="J80" s="2" t="s">
        <v>2080</v>
      </c>
      <c r="K80" s="4" t="n">
        <v>1</v>
      </c>
      <c r="L80" s="5" t="n">
        <v>130000</v>
      </c>
      <c r="M80" s="6" t="n">
        <f aca="false">K80*L80</f>
        <v>130000</v>
      </c>
      <c r="N80" s="5" t="n">
        <v>6500</v>
      </c>
      <c r="O80" s="6" t="n">
        <f aca="false">M80-N80</f>
        <v>123500</v>
      </c>
      <c r="P80" s="7" t="n">
        <v>0.18</v>
      </c>
      <c r="Q80" s="6" t="n">
        <v>0</v>
      </c>
      <c r="R80" s="6" t="n">
        <v>0</v>
      </c>
      <c r="S80" s="6" t="n">
        <f aca="false">ROUND(O80*P80,0)</f>
        <v>22230</v>
      </c>
      <c r="T80" s="6" t="n">
        <f aca="false">O80+Q80+R80+S80</f>
        <v>145730</v>
      </c>
      <c r="U80" s="5" t="n">
        <v>145730</v>
      </c>
      <c r="V80" s="6" t="n">
        <f aca="false">T80-U80</f>
        <v>0</v>
      </c>
      <c r="W80" s="4" t="s">
        <v>1960</v>
      </c>
      <c r="X80" s="3" t="n">
        <v>45901</v>
      </c>
      <c r="Y80" s="4" t="s">
        <v>99</v>
      </c>
      <c r="Z80" s="2" t="s">
        <v>814</v>
      </c>
      <c r="AA80" s="2"/>
    </row>
    <row r="81" customFormat="false" ht="15" hidden="false" customHeight="false" outlineLevel="0" collapsed="false">
      <c r="A81" s="2" t="s">
        <v>2143</v>
      </c>
      <c r="B81" s="2" t="s">
        <v>930</v>
      </c>
      <c r="C81" s="3" t="n">
        <v>45886</v>
      </c>
      <c r="D81" s="3" t="n">
        <v>45916</v>
      </c>
      <c r="E81" s="4" t="s">
        <v>2068</v>
      </c>
      <c r="F81" s="2" t="s">
        <v>474</v>
      </c>
      <c r="G81" s="2" t="s">
        <v>475</v>
      </c>
      <c r="H81" s="4" t="s">
        <v>58</v>
      </c>
      <c r="I81" s="2" t="s">
        <v>2144</v>
      </c>
      <c r="J81" s="2" t="s">
        <v>2117</v>
      </c>
      <c r="K81" s="4" t="n">
        <v>55</v>
      </c>
      <c r="L81" s="5" t="n">
        <v>3400</v>
      </c>
      <c r="M81" s="6" t="n">
        <f aca="false">K81*L81</f>
        <v>187000</v>
      </c>
      <c r="N81" s="5" t="n">
        <v>5610</v>
      </c>
      <c r="O81" s="6" t="n">
        <f aca="false">M81-N81</f>
        <v>181390</v>
      </c>
      <c r="P81" s="7" t="n">
        <v>0.12</v>
      </c>
      <c r="Q81" s="6" t="n">
        <v>0</v>
      </c>
      <c r="R81" s="6" t="n">
        <v>0</v>
      </c>
      <c r="S81" s="6" t="n">
        <f aca="false">ROUND(O81*P81,0)</f>
        <v>21767</v>
      </c>
      <c r="T81" s="6" t="n">
        <f aca="false">O81+Q81+R81+S81</f>
        <v>203157</v>
      </c>
      <c r="U81" s="5" t="n">
        <v>203157</v>
      </c>
      <c r="V81" s="6" t="n">
        <f aca="false">T81-U81</f>
        <v>0</v>
      </c>
      <c r="W81" s="4" t="s">
        <v>1960</v>
      </c>
      <c r="X81" s="3" t="n">
        <v>45933</v>
      </c>
      <c r="Y81" s="4" t="s">
        <v>74</v>
      </c>
      <c r="Z81" s="2" t="s">
        <v>927</v>
      </c>
      <c r="AA81" s="2"/>
    </row>
    <row r="82" customFormat="false" ht="15" hidden="false" customHeight="false" outlineLevel="0" collapsed="false">
      <c r="A82" s="2" t="s">
        <v>2145</v>
      </c>
      <c r="B82" s="2" t="s">
        <v>2146</v>
      </c>
      <c r="C82" s="3" t="n">
        <v>45887</v>
      </c>
      <c r="D82" s="3" t="n">
        <v>46106</v>
      </c>
      <c r="E82" s="4" t="s">
        <v>2068</v>
      </c>
      <c r="F82" s="2" t="s">
        <v>960</v>
      </c>
      <c r="G82" s="2" t="s">
        <v>961</v>
      </c>
      <c r="H82" s="4" t="s">
        <v>58</v>
      </c>
      <c r="I82" s="2" t="s">
        <v>2147</v>
      </c>
      <c r="J82" s="2" t="s">
        <v>2148</v>
      </c>
      <c r="K82" s="4" t="n">
        <v>1</v>
      </c>
      <c r="L82" s="5" t="n">
        <v>700000</v>
      </c>
      <c r="M82" s="6" t="n">
        <f aca="false">K82*L82</f>
        <v>700000</v>
      </c>
      <c r="N82" s="5" t="n">
        <v>56000</v>
      </c>
      <c r="O82" s="6" t="n">
        <f aca="false">M82-N82</f>
        <v>644000</v>
      </c>
      <c r="P82" s="7" t="n">
        <v>0.12</v>
      </c>
      <c r="Q82" s="6" t="n">
        <f aca="false">ROUND(O82*P82/2,0)</f>
        <v>38640</v>
      </c>
      <c r="R82" s="6" t="n">
        <f aca="false">ROUND(O82*P82/2,0)</f>
        <v>38640</v>
      </c>
      <c r="S82" s="6" t="n">
        <v>0</v>
      </c>
      <c r="T82" s="6" t="n">
        <f aca="false">O82+Q82+R82+S82</f>
        <v>721280</v>
      </c>
      <c r="U82" s="5" t="n">
        <v>0</v>
      </c>
      <c r="V82" s="6" t="n">
        <f aca="false">T82-U82</f>
        <v>721280</v>
      </c>
      <c r="W82" s="4" t="s">
        <v>1990</v>
      </c>
      <c r="X82" s="3"/>
      <c r="Y82" s="4"/>
      <c r="Z82" s="2"/>
      <c r="AA82" s="2"/>
    </row>
    <row r="83" customFormat="false" ht="15" hidden="false" customHeight="false" outlineLevel="0" collapsed="false">
      <c r="A83" s="2" t="s">
        <v>2149</v>
      </c>
      <c r="B83" s="2" t="s">
        <v>936</v>
      </c>
      <c r="C83" s="3" t="n">
        <v>45899</v>
      </c>
      <c r="D83" s="3" t="n">
        <v>45914</v>
      </c>
      <c r="E83" s="4" t="s">
        <v>2068</v>
      </c>
      <c r="F83" s="2" t="s">
        <v>474</v>
      </c>
      <c r="G83" s="2" t="s">
        <v>475</v>
      </c>
      <c r="H83" s="4" t="s">
        <v>58</v>
      </c>
      <c r="I83" s="2" t="s">
        <v>2150</v>
      </c>
      <c r="J83" s="2" t="s">
        <v>2085</v>
      </c>
      <c r="K83" s="4" t="n">
        <v>1</v>
      </c>
      <c r="L83" s="5" t="n">
        <v>250000</v>
      </c>
      <c r="M83" s="6" t="n">
        <f aca="false">K83*L83</f>
        <v>250000</v>
      </c>
      <c r="N83" s="5" t="n">
        <v>0</v>
      </c>
      <c r="O83" s="6" t="n">
        <f aca="false">M83-N83</f>
        <v>250000</v>
      </c>
      <c r="P83" s="7" t="n">
        <v>0.18</v>
      </c>
      <c r="Q83" s="6" t="n">
        <v>0</v>
      </c>
      <c r="R83" s="6" t="n">
        <v>0</v>
      </c>
      <c r="S83" s="6" t="n">
        <f aca="false">ROUND(O83*P83,0)</f>
        <v>45000</v>
      </c>
      <c r="T83" s="6" t="n">
        <f aca="false">O83+Q83+R83+S83</f>
        <v>295000</v>
      </c>
      <c r="U83" s="5" t="n">
        <v>148500</v>
      </c>
      <c r="V83" s="6" t="n">
        <f aca="false">T83-U83</f>
        <v>146500</v>
      </c>
      <c r="W83" s="4" t="s">
        <v>1957</v>
      </c>
      <c r="X83" s="3" t="n">
        <v>45933</v>
      </c>
      <c r="Y83" s="4" t="s">
        <v>685</v>
      </c>
      <c r="Z83" s="2" t="s">
        <v>931</v>
      </c>
      <c r="AA83" s="2"/>
    </row>
    <row r="84" customFormat="false" ht="15" hidden="false" customHeight="false" outlineLevel="0" collapsed="false">
      <c r="A84" s="2" t="s">
        <v>2151</v>
      </c>
      <c r="B84" s="2" t="s">
        <v>2152</v>
      </c>
      <c r="C84" s="3" t="n">
        <v>45903</v>
      </c>
      <c r="D84" s="3" t="n">
        <v>46041</v>
      </c>
      <c r="E84" s="4" t="s">
        <v>2068</v>
      </c>
      <c r="F84" s="2" t="s">
        <v>509</v>
      </c>
      <c r="G84" s="2" t="s">
        <v>510</v>
      </c>
      <c r="H84" s="4" t="s">
        <v>58</v>
      </c>
      <c r="I84" s="2" t="s">
        <v>2153</v>
      </c>
      <c r="J84" s="2" t="s">
        <v>2097</v>
      </c>
      <c r="K84" s="4" t="n">
        <v>1</v>
      </c>
      <c r="L84" s="5" t="n">
        <v>320000</v>
      </c>
      <c r="M84" s="6" t="n">
        <f aca="false">K84*L84</f>
        <v>320000</v>
      </c>
      <c r="N84" s="5" t="n">
        <v>0</v>
      </c>
      <c r="O84" s="6" t="n">
        <f aca="false">M84-N84</f>
        <v>320000</v>
      </c>
      <c r="P84" s="7" t="n">
        <v>0.05</v>
      </c>
      <c r="Q84" s="6" t="n">
        <v>0</v>
      </c>
      <c r="R84" s="6" t="n">
        <v>0</v>
      </c>
      <c r="S84" s="6" t="n">
        <f aca="false">ROUND(O84*P84,0)</f>
        <v>16000</v>
      </c>
      <c r="T84" s="6" t="n">
        <f aca="false">O84+Q84+R84+S84</f>
        <v>336000</v>
      </c>
      <c r="U84" s="5" t="n">
        <v>0</v>
      </c>
      <c r="V84" s="6" t="n">
        <f aca="false">T84-U84</f>
        <v>336000</v>
      </c>
      <c r="W84" s="4" t="s">
        <v>2023</v>
      </c>
      <c r="X84" s="3"/>
      <c r="Y84" s="4"/>
      <c r="Z84" s="2"/>
      <c r="AA84" s="2"/>
    </row>
    <row r="85" customFormat="false" ht="15" hidden="false" customHeight="false" outlineLevel="0" collapsed="false">
      <c r="A85" s="2" t="s">
        <v>2154</v>
      </c>
      <c r="B85" s="2" t="s">
        <v>898</v>
      </c>
      <c r="C85" s="3" t="n">
        <v>45908</v>
      </c>
      <c r="D85" s="3" t="n">
        <v>45938</v>
      </c>
      <c r="E85" s="4" t="s">
        <v>2068</v>
      </c>
      <c r="F85" s="2" t="s">
        <v>894</v>
      </c>
      <c r="G85" s="2" t="s">
        <v>895</v>
      </c>
      <c r="H85" s="4" t="s">
        <v>58</v>
      </c>
      <c r="I85" s="2" t="s">
        <v>2155</v>
      </c>
      <c r="J85" s="2" t="s">
        <v>2148</v>
      </c>
      <c r="K85" s="4" t="n">
        <v>1</v>
      </c>
      <c r="L85" s="5" t="n">
        <v>320000</v>
      </c>
      <c r="M85" s="6" t="n">
        <f aca="false">K85*L85</f>
        <v>320000</v>
      </c>
      <c r="N85" s="5" t="n">
        <v>25600</v>
      </c>
      <c r="O85" s="6" t="n">
        <f aca="false">M85-N85</f>
        <v>294400</v>
      </c>
      <c r="P85" s="7" t="n">
        <v>0.18</v>
      </c>
      <c r="Q85" s="6" t="n">
        <v>0</v>
      </c>
      <c r="R85" s="6" t="n">
        <v>0</v>
      </c>
      <c r="S85" s="6" t="n">
        <f aca="false">ROUND(O85*P85,0)</f>
        <v>52992</v>
      </c>
      <c r="T85" s="6" t="n">
        <f aca="false">O85+Q85+R85+S85</f>
        <v>347392</v>
      </c>
      <c r="U85" s="5" t="n">
        <v>347392</v>
      </c>
      <c r="V85" s="6" t="n">
        <f aca="false">T85-U85</f>
        <v>0</v>
      </c>
      <c r="W85" s="4" t="s">
        <v>1960</v>
      </c>
      <c r="X85" s="3" t="n">
        <v>45921</v>
      </c>
      <c r="Y85" s="4" t="s">
        <v>99</v>
      </c>
      <c r="Z85" s="2" t="s">
        <v>891</v>
      </c>
      <c r="AA85" s="2"/>
    </row>
    <row r="86" customFormat="false" ht="15" hidden="false" customHeight="false" outlineLevel="0" collapsed="false">
      <c r="A86" s="2" t="s">
        <v>2156</v>
      </c>
      <c r="B86" s="2" t="s">
        <v>1005</v>
      </c>
      <c r="C86" s="3" t="n">
        <v>45914</v>
      </c>
      <c r="D86" s="3" t="n">
        <v>45929</v>
      </c>
      <c r="E86" s="4" t="s">
        <v>2068</v>
      </c>
      <c r="F86" s="2" t="s">
        <v>77</v>
      </c>
      <c r="G86" s="2" t="s">
        <v>78</v>
      </c>
      <c r="H86" s="4" t="s">
        <v>58</v>
      </c>
      <c r="I86" s="2" t="s">
        <v>2069</v>
      </c>
      <c r="J86" s="2" t="s">
        <v>2070</v>
      </c>
      <c r="K86" s="4" t="n">
        <v>1</v>
      </c>
      <c r="L86" s="5" t="n">
        <v>70000</v>
      </c>
      <c r="M86" s="6" t="n">
        <f aca="false">K86*L86</f>
        <v>70000</v>
      </c>
      <c r="N86" s="5" t="n">
        <v>2100</v>
      </c>
      <c r="O86" s="6" t="n">
        <f aca="false">M86-N86</f>
        <v>67900</v>
      </c>
      <c r="P86" s="7" t="n">
        <v>0.18</v>
      </c>
      <c r="Q86" s="6" t="n">
        <v>0</v>
      </c>
      <c r="R86" s="6" t="n">
        <v>0</v>
      </c>
      <c r="S86" s="6" t="n">
        <f aca="false">ROUND(O86*P86,0)</f>
        <v>12222</v>
      </c>
      <c r="T86" s="6" t="n">
        <f aca="false">O86+Q86+R86+S86</f>
        <v>80122</v>
      </c>
      <c r="U86" s="5" t="n">
        <v>80122</v>
      </c>
      <c r="V86" s="6" t="n">
        <f aca="false">T86-U86</f>
        <v>0</v>
      </c>
      <c r="W86" s="4" t="s">
        <v>1960</v>
      </c>
      <c r="X86" s="3" t="n">
        <v>45945</v>
      </c>
      <c r="Y86" s="4" t="s">
        <v>180</v>
      </c>
      <c r="Z86" s="2" t="s">
        <v>1001</v>
      </c>
      <c r="AA86" s="2"/>
    </row>
    <row r="87" customFormat="false" ht="15" hidden="false" customHeight="false" outlineLevel="0" collapsed="false">
      <c r="A87" s="2" t="s">
        <v>2157</v>
      </c>
      <c r="B87" s="2" t="s">
        <v>875</v>
      </c>
      <c r="C87" s="3" t="n">
        <v>45916</v>
      </c>
      <c r="D87" s="3" t="n">
        <v>45931</v>
      </c>
      <c r="E87" s="4" t="s">
        <v>2068</v>
      </c>
      <c r="F87" s="2" t="s">
        <v>519</v>
      </c>
      <c r="G87" s="2" t="s">
        <v>520</v>
      </c>
      <c r="H87" s="4" t="s">
        <v>58</v>
      </c>
      <c r="I87" s="2" t="s">
        <v>2158</v>
      </c>
      <c r="J87" s="2" t="s">
        <v>2100</v>
      </c>
      <c r="K87" s="4" t="n">
        <v>1</v>
      </c>
      <c r="L87" s="5" t="n">
        <v>550000</v>
      </c>
      <c r="M87" s="6" t="n">
        <f aca="false">K87*L87</f>
        <v>550000</v>
      </c>
      <c r="N87" s="5" t="n">
        <v>27500</v>
      </c>
      <c r="O87" s="6" t="n">
        <f aca="false">M87-N87</f>
        <v>522500</v>
      </c>
      <c r="P87" s="7" t="n">
        <v>0.12</v>
      </c>
      <c r="Q87" s="6" t="n">
        <f aca="false">ROUND(O87*P87/2,0)</f>
        <v>31350</v>
      </c>
      <c r="R87" s="6" t="n">
        <f aca="false">ROUND(O87*P87/2,0)</f>
        <v>31350</v>
      </c>
      <c r="S87" s="6" t="n">
        <v>0</v>
      </c>
      <c r="T87" s="6" t="n">
        <f aca="false">O87+Q87+R87+S87</f>
        <v>585200</v>
      </c>
      <c r="U87" s="5" t="n">
        <v>585200</v>
      </c>
      <c r="V87" s="6" t="n">
        <f aca="false">T87-U87</f>
        <v>0</v>
      </c>
      <c r="W87" s="4" t="s">
        <v>1960</v>
      </c>
      <c r="X87" s="3" t="n">
        <v>45954</v>
      </c>
      <c r="Y87" s="4" t="s">
        <v>1970</v>
      </c>
      <c r="Z87" s="2" t="s">
        <v>2159</v>
      </c>
      <c r="AA87" s="2" t="s">
        <v>2135</v>
      </c>
    </row>
    <row r="88" customFormat="false" ht="15" hidden="false" customHeight="false" outlineLevel="0" collapsed="false">
      <c r="A88" s="2" t="s">
        <v>2160</v>
      </c>
      <c r="B88" s="2" t="s">
        <v>903</v>
      </c>
      <c r="C88" s="3" t="n">
        <v>45916</v>
      </c>
      <c r="D88" s="3" t="n">
        <v>45946</v>
      </c>
      <c r="E88" s="4" t="s">
        <v>2068</v>
      </c>
      <c r="F88" s="2" t="s">
        <v>447</v>
      </c>
      <c r="G88" s="2" t="s">
        <v>448</v>
      </c>
      <c r="H88" s="4" t="s">
        <v>58</v>
      </c>
      <c r="I88" s="2" t="s">
        <v>2161</v>
      </c>
      <c r="J88" s="2" t="s">
        <v>2092</v>
      </c>
      <c r="K88" s="4" t="n">
        <v>1</v>
      </c>
      <c r="L88" s="5" t="n">
        <v>400000</v>
      </c>
      <c r="M88" s="6" t="n">
        <f aca="false">K88*L88</f>
        <v>400000</v>
      </c>
      <c r="N88" s="5" t="n">
        <v>0</v>
      </c>
      <c r="O88" s="6" t="n">
        <f aca="false">M88-N88</f>
        <v>400000</v>
      </c>
      <c r="P88" s="7" t="n">
        <v>0.18</v>
      </c>
      <c r="Q88" s="6" t="n">
        <f aca="false">ROUND(O88*P88/2,0)</f>
        <v>36000</v>
      </c>
      <c r="R88" s="6" t="n">
        <f aca="false">ROUND(O88*P88/2,0)</f>
        <v>36000</v>
      </c>
      <c r="S88" s="6" t="n">
        <v>0</v>
      </c>
      <c r="T88" s="6" t="n">
        <f aca="false">O88+Q88+R88+S88</f>
        <v>472000</v>
      </c>
      <c r="U88" s="5" t="n">
        <v>472000</v>
      </c>
      <c r="V88" s="6" t="n">
        <f aca="false">T88-U88</f>
        <v>0</v>
      </c>
      <c r="W88" s="4" t="s">
        <v>1960</v>
      </c>
      <c r="X88" s="3" t="n">
        <v>45921</v>
      </c>
      <c r="Y88" s="4" t="s">
        <v>348</v>
      </c>
      <c r="Z88" s="2" t="s">
        <v>899</v>
      </c>
      <c r="AA88" s="2"/>
    </row>
    <row r="89" customFormat="false" ht="15" hidden="false" customHeight="false" outlineLevel="0" collapsed="false">
      <c r="A89" s="2" t="s">
        <v>2162</v>
      </c>
      <c r="B89" s="2" t="s">
        <v>963</v>
      </c>
      <c r="C89" s="3" t="n">
        <v>45918</v>
      </c>
      <c r="D89" s="3" t="n">
        <v>45963</v>
      </c>
      <c r="E89" s="4" t="s">
        <v>2068</v>
      </c>
      <c r="F89" s="2" t="s">
        <v>960</v>
      </c>
      <c r="G89" s="2" t="s">
        <v>961</v>
      </c>
      <c r="H89" s="4" t="s">
        <v>58</v>
      </c>
      <c r="I89" s="2" t="s">
        <v>2147</v>
      </c>
      <c r="J89" s="2" t="s">
        <v>2148</v>
      </c>
      <c r="K89" s="4" t="n">
        <v>1</v>
      </c>
      <c r="L89" s="5" t="n">
        <v>160000</v>
      </c>
      <c r="M89" s="6" t="n">
        <f aca="false">K89*L89</f>
        <v>160000</v>
      </c>
      <c r="N89" s="5" t="n">
        <v>0</v>
      </c>
      <c r="O89" s="6" t="n">
        <f aca="false">M89-N89</f>
        <v>160000</v>
      </c>
      <c r="P89" s="7" t="n">
        <v>0.12</v>
      </c>
      <c r="Q89" s="6" t="n">
        <f aca="false">ROUND(O89*P89/2,0)</f>
        <v>9600</v>
      </c>
      <c r="R89" s="6" t="n">
        <f aca="false">ROUND(O89*P89/2,0)</f>
        <v>9600</v>
      </c>
      <c r="S89" s="6" t="n">
        <v>0</v>
      </c>
      <c r="T89" s="6" t="n">
        <f aca="false">O89+Q89+R89+S89</f>
        <v>179200</v>
      </c>
      <c r="U89" s="5" t="n">
        <v>179200</v>
      </c>
      <c r="V89" s="6" t="n">
        <f aca="false">T89-U89</f>
        <v>0</v>
      </c>
      <c r="W89" s="4" t="s">
        <v>1960</v>
      </c>
      <c r="X89" s="3" t="n">
        <v>45937</v>
      </c>
      <c r="Y89" s="4" t="s">
        <v>685</v>
      </c>
      <c r="Z89" s="2" t="s">
        <v>957</v>
      </c>
      <c r="AA89" s="2"/>
    </row>
    <row r="90" customFormat="false" ht="15" hidden="false" customHeight="false" outlineLevel="0" collapsed="false">
      <c r="A90" s="2" t="s">
        <v>2163</v>
      </c>
      <c r="B90" s="2" t="s">
        <v>1127</v>
      </c>
      <c r="C90" s="3" t="n">
        <v>45920</v>
      </c>
      <c r="D90" s="3" t="n">
        <v>45950</v>
      </c>
      <c r="E90" s="4" t="s">
        <v>2068</v>
      </c>
      <c r="F90" s="2" t="s">
        <v>447</v>
      </c>
      <c r="G90" s="2" t="s">
        <v>448</v>
      </c>
      <c r="H90" s="4" t="s">
        <v>58</v>
      </c>
      <c r="I90" s="2" t="s">
        <v>2164</v>
      </c>
      <c r="J90" s="2" t="s">
        <v>2100</v>
      </c>
      <c r="K90" s="4" t="n">
        <v>1</v>
      </c>
      <c r="L90" s="5" t="n">
        <v>160000</v>
      </c>
      <c r="M90" s="6" t="n">
        <f aca="false">K90*L90</f>
        <v>160000</v>
      </c>
      <c r="N90" s="5" t="n">
        <v>4800</v>
      </c>
      <c r="O90" s="6" t="n">
        <f aca="false">M90-N90</f>
        <v>155200</v>
      </c>
      <c r="P90" s="7" t="n">
        <v>0.18</v>
      </c>
      <c r="Q90" s="6" t="n">
        <f aca="false">ROUND(O90*P90/2,0)</f>
        <v>13968</v>
      </c>
      <c r="R90" s="6" t="n">
        <f aca="false">ROUND(O90*P90/2,0)</f>
        <v>13968</v>
      </c>
      <c r="S90" s="6" t="n">
        <v>0</v>
      </c>
      <c r="T90" s="6" t="n">
        <f aca="false">O90+Q90+R90+S90</f>
        <v>183136</v>
      </c>
      <c r="U90" s="5" t="n">
        <v>183136</v>
      </c>
      <c r="V90" s="6" t="n">
        <f aca="false">T90-U90</f>
        <v>0</v>
      </c>
      <c r="W90" s="4" t="s">
        <v>1960</v>
      </c>
      <c r="X90" s="3" t="n">
        <v>45966</v>
      </c>
      <c r="Y90" s="4" t="s">
        <v>53</v>
      </c>
      <c r="Z90" s="2" t="s">
        <v>1123</v>
      </c>
      <c r="AA90" s="2"/>
    </row>
    <row r="91" customFormat="false" ht="15" hidden="false" customHeight="false" outlineLevel="0" collapsed="false">
      <c r="A91" s="2" t="s">
        <v>2165</v>
      </c>
      <c r="B91" s="2" t="s">
        <v>1233</v>
      </c>
      <c r="C91" s="3" t="n">
        <v>45926</v>
      </c>
      <c r="D91" s="3" t="n">
        <v>45971</v>
      </c>
      <c r="E91" s="4" t="s">
        <v>2068</v>
      </c>
      <c r="F91" s="2" t="s">
        <v>1230</v>
      </c>
      <c r="G91" s="2" t="s">
        <v>1231</v>
      </c>
      <c r="H91" s="4" t="s">
        <v>58</v>
      </c>
      <c r="I91" s="2" t="s">
        <v>2166</v>
      </c>
      <c r="J91" s="2" t="s">
        <v>2104</v>
      </c>
      <c r="K91" s="4" t="n">
        <v>1</v>
      </c>
      <c r="L91" s="5" t="n">
        <v>70000</v>
      </c>
      <c r="M91" s="6" t="n">
        <f aca="false">K91*L91</f>
        <v>70000</v>
      </c>
      <c r="N91" s="5" t="n">
        <v>3500</v>
      </c>
      <c r="O91" s="6" t="n">
        <f aca="false">M91-N91</f>
        <v>66500</v>
      </c>
      <c r="P91" s="7" t="n">
        <v>0.18</v>
      </c>
      <c r="Q91" s="6" t="n">
        <v>0</v>
      </c>
      <c r="R91" s="6" t="n">
        <v>0</v>
      </c>
      <c r="S91" s="6" t="n">
        <f aca="false">ROUND(O91*P91,0)</f>
        <v>11970</v>
      </c>
      <c r="T91" s="6" t="n">
        <f aca="false">O91+Q91+R91+S91</f>
        <v>78470</v>
      </c>
      <c r="U91" s="5" t="n">
        <v>78470</v>
      </c>
      <c r="V91" s="6" t="n">
        <f aca="false">T91-U91</f>
        <v>0</v>
      </c>
      <c r="W91" s="4" t="s">
        <v>1960</v>
      </c>
      <c r="X91" s="3" t="n">
        <v>45989</v>
      </c>
      <c r="Y91" s="4" t="s">
        <v>53</v>
      </c>
      <c r="Z91" s="2" t="s">
        <v>1227</v>
      </c>
      <c r="AA91" s="2"/>
    </row>
    <row r="92" customFormat="false" ht="15" hidden="false" customHeight="false" outlineLevel="0" collapsed="false">
      <c r="A92" s="2" t="s">
        <v>2167</v>
      </c>
      <c r="B92" s="2" t="s">
        <v>1013</v>
      </c>
      <c r="C92" s="3" t="n">
        <v>45928</v>
      </c>
      <c r="D92" s="3" t="n">
        <v>45958</v>
      </c>
      <c r="E92" s="4" t="s">
        <v>2068</v>
      </c>
      <c r="F92" s="2" t="s">
        <v>447</v>
      </c>
      <c r="G92" s="2" t="s">
        <v>448</v>
      </c>
      <c r="H92" s="4" t="s">
        <v>58</v>
      </c>
      <c r="I92" s="2" t="s">
        <v>2161</v>
      </c>
      <c r="J92" s="2" t="s">
        <v>2092</v>
      </c>
      <c r="K92" s="4" t="n">
        <v>1</v>
      </c>
      <c r="L92" s="5" t="n">
        <v>250000</v>
      </c>
      <c r="M92" s="6" t="n">
        <f aca="false">K92*L92</f>
        <v>250000</v>
      </c>
      <c r="N92" s="5" t="n">
        <v>20000</v>
      </c>
      <c r="O92" s="6" t="n">
        <f aca="false">M92-N92</f>
        <v>230000</v>
      </c>
      <c r="P92" s="7" t="n">
        <v>0.18</v>
      </c>
      <c r="Q92" s="6" t="n">
        <f aca="false">ROUND(O92*P92/2,0)</f>
        <v>20700</v>
      </c>
      <c r="R92" s="6" t="n">
        <f aca="false">ROUND(O92*P92/2,0)</f>
        <v>20700</v>
      </c>
      <c r="S92" s="6" t="n">
        <v>0</v>
      </c>
      <c r="T92" s="6" t="n">
        <f aca="false">O92+Q92+R92+S92</f>
        <v>271400</v>
      </c>
      <c r="U92" s="5" t="n">
        <v>145100</v>
      </c>
      <c r="V92" s="6" t="n">
        <f aca="false">T92-U92</f>
        <v>126300</v>
      </c>
      <c r="W92" s="4" t="s">
        <v>1957</v>
      </c>
      <c r="X92" s="3" t="n">
        <v>45946</v>
      </c>
      <c r="Y92" s="4" t="s">
        <v>180</v>
      </c>
      <c r="Z92" s="2" t="s">
        <v>1009</v>
      </c>
      <c r="AA92" s="2"/>
    </row>
    <row r="93" customFormat="false" ht="15" hidden="false" customHeight="false" outlineLevel="0" collapsed="false">
      <c r="A93" s="2" t="s">
        <v>2168</v>
      </c>
      <c r="B93" s="2" t="s">
        <v>977</v>
      </c>
      <c r="C93" s="3" t="n">
        <v>45932</v>
      </c>
      <c r="D93" s="3" t="n">
        <v>45962</v>
      </c>
      <c r="E93" s="4" t="s">
        <v>2068</v>
      </c>
      <c r="F93" s="2" t="s">
        <v>756</v>
      </c>
      <c r="G93" s="2" t="s">
        <v>757</v>
      </c>
      <c r="H93" s="4" t="s">
        <v>58</v>
      </c>
      <c r="I93" s="2" t="s">
        <v>2169</v>
      </c>
      <c r="J93" s="2" t="s">
        <v>2092</v>
      </c>
      <c r="K93" s="4" t="n">
        <v>1</v>
      </c>
      <c r="L93" s="5" t="n">
        <v>400000</v>
      </c>
      <c r="M93" s="6" t="n">
        <f aca="false">K93*L93</f>
        <v>400000</v>
      </c>
      <c r="N93" s="5" t="n">
        <v>0</v>
      </c>
      <c r="O93" s="6" t="n">
        <f aca="false">M93-N93</f>
        <v>400000</v>
      </c>
      <c r="P93" s="7" t="n">
        <v>0.12</v>
      </c>
      <c r="Q93" s="6" t="n">
        <v>0</v>
      </c>
      <c r="R93" s="6" t="n">
        <v>0</v>
      </c>
      <c r="S93" s="6" t="n">
        <f aca="false">ROUND(O93*P93,0)</f>
        <v>48000</v>
      </c>
      <c r="T93" s="6" t="n">
        <f aca="false">O93+Q93+R93+S93</f>
        <v>448000</v>
      </c>
      <c r="U93" s="5" t="n">
        <v>242100</v>
      </c>
      <c r="V93" s="6" t="n">
        <f aca="false">T93-U93</f>
        <v>205900</v>
      </c>
      <c r="W93" s="4" t="s">
        <v>1957</v>
      </c>
      <c r="X93" s="3" t="n">
        <v>45938</v>
      </c>
      <c r="Y93" s="4" t="s">
        <v>99</v>
      </c>
      <c r="Z93" s="2" t="s">
        <v>973</v>
      </c>
      <c r="AA93" s="2"/>
    </row>
    <row r="94" customFormat="false" ht="15" hidden="false" customHeight="false" outlineLevel="0" collapsed="false">
      <c r="A94" s="2" t="s">
        <v>2170</v>
      </c>
      <c r="B94" s="2" t="s">
        <v>968</v>
      </c>
      <c r="C94" s="3" t="n">
        <v>45933</v>
      </c>
      <c r="D94" s="3" t="n">
        <v>45948</v>
      </c>
      <c r="E94" s="4" t="s">
        <v>2068</v>
      </c>
      <c r="F94" s="2" t="s">
        <v>894</v>
      </c>
      <c r="G94" s="2" t="s">
        <v>895</v>
      </c>
      <c r="H94" s="4" t="s">
        <v>58</v>
      </c>
      <c r="I94" s="2" t="s">
        <v>2171</v>
      </c>
      <c r="J94" s="2" t="s">
        <v>2172</v>
      </c>
      <c r="K94" s="4" t="n">
        <v>1</v>
      </c>
      <c r="L94" s="5" t="n">
        <v>200000</v>
      </c>
      <c r="M94" s="6" t="n">
        <f aca="false">K94*L94</f>
        <v>200000</v>
      </c>
      <c r="N94" s="5" t="n">
        <v>6000</v>
      </c>
      <c r="O94" s="6" t="n">
        <f aca="false">M94-N94</f>
        <v>194000</v>
      </c>
      <c r="P94" s="7" t="n">
        <v>0.18</v>
      </c>
      <c r="Q94" s="6" t="n">
        <v>0</v>
      </c>
      <c r="R94" s="6" t="n">
        <v>0</v>
      </c>
      <c r="S94" s="6" t="n">
        <f aca="false">ROUND(O94*P94,0)</f>
        <v>34920</v>
      </c>
      <c r="T94" s="6" t="n">
        <f aca="false">O94+Q94+R94+S94</f>
        <v>228920</v>
      </c>
      <c r="U94" s="5" t="n">
        <v>228920</v>
      </c>
      <c r="V94" s="6" t="n">
        <f aca="false">T94-U94</f>
        <v>0</v>
      </c>
      <c r="W94" s="4" t="s">
        <v>1960</v>
      </c>
      <c r="X94" s="3" t="n">
        <v>45937</v>
      </c>
      <c r="Y94" s="4" t="s">
        <v>99</v>
      </c>
      <c r="Z94" s="2" t="s">
        <v>964</v>
      </c>
      <c r="AA94" s="2" t="s">
        <v>2173</v>
      </c>
    </row>
    <row r="95" customFormat="false" ht="15" hidden="false" customHeight="false" outlineLevel="0" collapsed="false">
      <c r="A95" s="2" t="s">
        <v>2174</v>
      </c>
      <c r="B95" s="2" t="s">
        <v>950</v>
      </c>
      <c r="C95" s="3" t="n">
        <v>45934</v>
      </c>
      <c r="D95" s="3" t="n">
        <v>45949</v>
      </c>
      <c r="E95" s="4" t="s">
        <v>2068</v>
      </c>
      <c r="F95" s="2" t="s">
        <v>947</v>
      </c>
      <c r="G95" s="2" t="s">
        <v>948</v>
      </c>
      <c r="H95" s="4" t="s">
        <v>58</v>
      </c>
      <c r="I95" s="2" t="s">
        <v>2175</v>
      </c>
      <c r="J95" s="2" t="s">
        <v>2148</v>
      </c>
      <c r="K95" s="4" t="n">
        <v>1</v>
      </c>
      <c r="L95" s="5" t="n">
        <v>250000</v>
      </c>
      <c r="M95" s="6" t="n">
        <f aca="false">K95*L95</f>
        <v>250000</v>
      </c>
      <c r="N95" s="5" t="n">
        <v>12500</v>
      </c>
      <c r="O95" s="6" t="n">
        <f aca="false">M95-N95</f>
        <v>237500</v>
      </c>
      <c r="P95" s="7" t="n">
        <v>0.18</v>
      </c>
      <c r="Q95" s="6" t="n">
        <v>0</v>
      </c>
      <c r="R95" s="6" t="n">
        <v>0</v>
      </c>
      <c r="S95" s="6" t="n">
        <f aca="false">ROUND(O95*P95,0)</f>
        <v>42750</v>
      </c>
      <c r="T95" s="6" t="n">
        <f aca="false">O95+Q95+R95+S95</f>
        <v>280250</v>
      </c>
      <c r="U95" s="5" t="n">
        <v>280250</v>
      </c>
      <c r="V95" s="6" t="n">
        <f aca="false">T95-U95</f>
        <v>0</v>
      </c>
      <c r="W95" s="4" t="s">
        <v>1960</v>
      </c>
      <c r="X95" s="3" t="n">
        <v>45948</v>
      </c>
      <c r="Y95" s="4" t="s">
        <v>1970</v>
      </c>
      <c r="Z95" s="2" t="s">
        <v>2176</v>
      </c>
      <c r="AA95" s="2" t="s">
        <v>2135</v>
      </c>
    </row>
    <row r="96" customFormat="false" ht="15" hidden="false" customHeight="false" outlineLevel="0" collapsed="false">
      <c r="A96" s="2" t="s">
        <v>2177</v>
      </c>
      <c r="B96" s="2" t="s">
        <v>1034</v>
      </c>
      <c r="C96" s="3" t="n">
        <v>45939</v>
      </c>
      <c r="D96" s="3" t="n">
        <v>45954</v>
      </c>
      <c r="E96" s="4" t="s">
        <v>2068</v>
      </c>
      <c r="F96" s="2" t="s">
        <v>894</v>
      </c>
      <c r="G96" s="2" t="s">
        <v>895</v>
      </c>
      <c r="H96" s="4" t="s">
        <v>58</v>
      </c>
      <c r="I96" s="2" t="s">
        <v>2178</v>
      </c>
      <c r="J96" s="2" t="s">
        <v>2179</v>
      </c>
      <c r="K96" s="4" t="n">
        <v>1</v>
      </c>
      <c r="L96" s="5" t="n">
        <v>320000</v>
      </c>
      <c r="M96" s="6" t="n">
        <f aca="false">K96*L96</f>
        <v>320000</v>
      </c>
      <c r="N96" s="5" t="n">
        <v>0</v>
      </c>
      <c r="O96" s="6" t="n">
        <f aca="false">M96-N96</f>
        <v>320000</v>
      </c>
      <c r="P96" s="7" t="n">
        <v>0.18</v>
      </c>
      <c r="Q96" s="6" t="n">
        <v>0</v>
      </c>
      <c r="R96" s="6" t="n">
        <v>0</v>
      </c>
      <c r="S96" s="6" t="n">
        <f aca="false">ROUND(O96*P96,0)</f>
        <v>57600</v>
      </c>
      <c r="T96" s="6" t="n">
        <f aca="false">O96+Q96+R96+S96</f>
        <v>377600</v>
      </c>
      <c r="U96" s="5" t="n">
        <v>377600</v>
      </c>
      <c r="V96" s="6" t="n">
        <f aca="false">T96-U96</f>
        <v>0</v>
      </c>
      <c r="W96" s="4" t="s">
        <v>1960</v>
      </c>
      <c r="X96" s="3" t="n">
        <v>45953</v>
      </c>
      <c r="Y96" s="4" t="s">
        <v>74</v>
      </c>
      <c r="Z96" s="2" t="s">
        <v>1029</v>
      </c>
      <c r="AA96" s="2"/>
    </row>
    <row r="97" customFormat="false" ht="15" hidden="false" customHeight="false" outlineLevel="0" collapsed="false">
      <c r="A97" s="2" t="s">
        <v>2180</v>
      </c>
      <c r="B97" s="2" t="s">
        <v>1140</v>
      </c>
      <c r="C97" s="3" t="n">
        <v>45939</v>
      </c>
      <c r="D97" s="3" t="n">
        <v>45969</v>
      </c>
      <c r="E97" s="4" t="s">
        <v>2068</v>
      </c>
      <c r="F97" s="2" t="s">
        <v>1136</v>
      </c>
      <c r="G97" s="2" t="s">
        <v>1137</v>
      </c>
      <c r="H97" s="4" t="s">
        <v>58</v>
      </c>
      <c r="I97" s="2" t="s">
        <v>2181</v>
      </c>
      <c r="J97" s="2" t="s">
        <v>2124</v>
      </c>
      <c r="K97" s="4" t="n">
        <v>1</v>
      </c>
      <c r="L97" s="5" t="n">
        <v>250000</v>
      </c>
      <c r="M97" s="6" t="n">
        <f aca="false">K97*L97</f>
        <v>250000</v>
      </c>
      <c r="N97" s="5" t="n">
        <v>20000</v>
      </c>
      <c r="O97" s="6" t="n">
        <f aca="false">M97-N97</f>
        <v>230000</v>
      </c>
      <c r="P97" s="7" t="n">
        <v>0.18</v>
      </c>
      <c r="Q97" s="6" t="n">
        <v>0</v>
      </c>
      <c r="R97" s="6" t="n">
        <v>0</v>
      </c>
      <c r="S97" s="6" t="n">
        <f aca="false">ROUND(O97*P97,0)</f>
        <v>41400</v>
      </c>
      <c r="T97" s="6" t="n">
        <f aca="false">O97+Q97+R97+S97</f>
        <v>271400</v>
      </c>
      <c r="U97" s="5" t="n">
        <v>271400</v>
      </c>
      <c r="V97" s="6" t="n">
        <f aca="false">T97-U97</f>
        <v>0</v>
      </c>
      <c r="W97" s="4" t="s">
        <v>1960</v>
      </c>
      <c r="X97" s="3" t="n">
        <v>45984</v>
      </c>
      <c r="Y97" s="4" t="s">
        <v>1970</v>
      </c>
      <c r="Z97" s="2" t="s">
        <v>2182</v>
      </c>
      <c r="AA97" s="2" t="s">
        <v>1972</v>
      </c>
    </row>
    <row r="98" customFormat="false" ht="15" hidden="false" customHeight="false" outlineLevel="0" collapsed="false">
      <c r="A98" s="2" t="s">
        <v>2183</v>
      </c>
      <c r="B98" s="2" t="s">
        <v>2184</v>
      </c>
      <c r="C98" s="3" t="n">
        <v>45945</v>
      </c>
      <c r="D98" s="3" t="n">
        <v>45960</v>
      </c>
      <c r="E98" s="4" t="s">
        <v>2068</v>
      </c>
      <c r="F98" s="2" t="s">
        <v>1774</v>
      </c>
      <c r="G98" s="2" t="s">
        <v>1775</v>
      </c>
      <c r="H98" s="4" t="s">
        <v>58</v>
      </c>
      <c r="I98" s="2" t="s">
        <v>2185</v>
      </c>
      <c r="J98" s="2" t="s">
        <v>2092</v>
      </c>
      <c r="K98" s="4" t="n">
        <v>1</v>
      </c>
      <c r="L98" s="5" t="n">
        <v>70000</v>
      </c>
      <c r="M98" s="6" t="n">
        <f aca="false">K98*L98</f>
        <v>70000</v>
      </c>
      <c r="N98" s="5" t="n">
        <v>0</v>
      </c>
      <c r="O98" s="6" t="n">
        <f aca="false">M98-N98</f>
        <v>70000</v>
      </c>
      <c r="P98" s="7" t="n">
        <v>0.18</v>
      </c>
      <c r="Q98" s="6" t="n">
        <v>0</v>
      </c>
      <c r="R98" s="6" t="n">
        <v>0</v>
      </c>
      <c r="S98" s="6" t="n">
        <f aca="false">ROUND(O98*P98,0)</f>
        <v>12600</v>
      </c>
      <c r="T98" s="6" t="n">
        <f aca="false">O98+Q98+R98+S98</f>
        <v>82600</v>
      </c>
      <c r="U98" s="5" t="n">
        <v>0</v>
      </c>
      <c r="V98" s="6" t="n">
        <f aca="false">T98-U98</f>
        <v>82600</v>
      </c>
      <c r="W98" s="4" t="s">
        <v>2044</v>
      </c>
      <c r="X98" s="3"/>
      <c r="Y98" s="4"/>
      <c r="Z98" s="2"/>
      <c r="AA98" s="2" t="s">
        <v>2186</v>
      </c>
    </row>
    <row r="99" customFormat="false" ht="15" hidden="false" customHeight="false" outlineLevel="0" collapsed="false">
      <c r="A99" s="2" t="s">
        <v>2187</v>
      </c>
      <c r="B99" s="2" t="s">
        <v>1022</v>
      </c>
      <c r="C99" s="3" t="n">
        <v>45947</v>
      </c>
      <c r="D99" s="3" t="n">
        <v>45962</v>
      </c>
      <c r="E99" s="4" t="s">
        <v>2068</v>
      </c>
      <c r="F99" s="2" t="s">
        <v>77</v>
      </c>
      <c r="G99" s="2" t="s">
        <v>78</v>
      </c>
      <c r="H99" s="4" t="s">
        <v>58</v>
      </c>
      <c r="I99" s="2" t="s">
        <v>2188</v>
      </c>
      <c r="J99" s="2" t="s">
        <v>2104</v>
      </c>
      <c r="K99" s="4" t="n">
        <v>1</v>
      </c>
      <c r="L99" s="5" t="n">
        <v>70000</v>
      </c>
      <c r="M99" s="6" t="n">
        <f aca="false">K99*L99</f>
        <v>70000</v>
      </c>
      <c r="N99" s="5" t="n">
        <v>0</v>
      </c>
      <c r="O99" s="6" t="n">
        <f aca="false">M99-N99</f>
        <v>70000</v>
      </c>
      <c r="P99" s="7" t="n">
        <v>0.18</v>
      </c>
      <c r="Q99" s="6" t="n">
        <v>0</v>
      </c>
      <c r="R99" s="6" t="n">
        <v>0</v>
      </c>
      <c r="S99" s="6" t="n">
        <f aca="false">ROUND(O99*P99,0)</f>
        <v>12600</v>
      </c>
      <c r="T99" s="6" t="n">
        <f aca="false">O99+Q99+R99+S99</f>
        <v>82600</v>
      </c>
      <c r="U99" s="5" t="n">
        <v>53800</v>
      </c>
      <c r="V99" s="6" t="n">
        <f aca="false">T99-U99</f>
        <v>28800</v>
      </c>
      <c r="W99" s="4" t="s">
        <v>1957</v>
      </c>
      <c r="X99" s="3" t="n">
        <v>45948</v>
      </c>
      <c r="Y99" s="4" t="s">
        <v>99</v>
      </c>
      <c r="Z99" s="2" t="s">
        <v>1019</v>
      </c>
      <c r="AA99" s="2"/>
    </row>
    <row r="100" customFormat="false" ht="15" hidden="false" customHeight="false" outlineLevel="0" collapsed="false">
      <c r="A100" s="2" t="s">
        <v>2189</v>
      </c>
      <c r="B100" s="2" t="s">
        <v>1041</v>
      </c>
      <c r="C100" s="3" t="n">
        <v>45950</v>
      </c>
      <c r="D100" s="3" t="n">
        <v>45980</v>
      </c>
      <c r="E100" s="4" t="s">
        <v>2068</v>
      </c>
      <c r="F100" s="2" t="s">
        <v>1038</v>
      </c>
      <c r="G100" s="2" t="s">
        <v>1039</v>
      </c>
      <c r="H100" s="4" t="s">
        <v>58</v>
      </c>
      <c r="I100" s="2" t="s">
        <v>2190</v>
      </c>
      <c r="J100" s="2" t="s">
        <v>2148</v>
      </c>
      <c r="K100" s="4" t="n">
        <v>1</v>
      </c>
      <c r="L100" s="5" t="n">
        <v>700000</v>
      </c>
      <c r="M100" s="6" t="n">
        <f aca="false">K100*L100</f>
        <v>700000</v>
      </c>
      <c r="N100" s="5" t="n">
        <v>56000</v>
      </c>
      <c r="O100" s="6" t="n">
        <f aca="false">M100-N100</f>
        <v>644000</v>
      </c>
      <c r="P100" s="7" t="n">
        <v>0.18</v>
      </c>
      <c r="Q100" s="6" t="n">
        <v>0</v>
      </c>
      <c r="R100" s="6" t="n">
        <v>0</v>
      </c>
      <c r="S100" s="6" t="n">
        <f aca="false">ROUND(O100*P100,0)</f>
        <v>115920</v>
      </c>
      <c r="T100" s="6" t="n">
        <f aca="false">O100+Q100+R100+S100</f>
        <v>759920</v>
      </c>
      <c r="U100" s="5" t="n">
        <v>456100</v>
      </c>
      <c r="V100" s="6" t="n">
        <f aca="false">T100-U100</f>
        <v>303820</v>
      </c>
      <c r="W100" s="4" t="s">
        <v>1957</v>
      </c>
      <c r="X100" s="3" t="n">
        <v>45953</v>
      </c>
      <c r="Y100" s="4" t="s">
        <v>74</v>
      </c>
      <c r="Z100" s="2" t="s">
        <v>1035</v>
      </c>
      <c r="AA100" s="2"/>
    </row>
    <row r="101" customFormat="false" ht="15" hidden="false" customHeight="false" outlineLevel="0" collapsed="false">
      <c r="A101" s="2" t="s">
        <v>2191</v>
      </c>
      <c r="B101" s="2" t="s">
        <v>1098</v>
      </c>
      <c r="C101" s="3" t="n">
        <v>45956</v>
      </c>
      <c r="D101" s="3" t="n">
        <v>45986</v>
      </c>
      <c r="E101" s="4" t="s">
        <v>2068</v>
      </c>
      <c r="F101" s="2" t="s">
        <v>533</v>
      </c>
      <c r="G101" s="2" t="s">
        <v>534</v>
      </c>
      <c r="H101" s="4" t="s">
        <v>58</v>
      </c>
      <c r="I101" s="2" t="s">
        <v>2192</v>
      </c>
      <c r="J101" s="2" t="s">
        <v>2080</v>
      </c>
      <c r="K101" s="4" t="n">
        <v>1</v>
      </c>
      <c r="L101" s="5" t="n">
        <v>200000</v>
      </c>
      <c r="M101" s="6" t="n">
        <f aca="false">K101*L101</f>
        <v>200000</v>
      </c>
      <c r="N101" s="5" t="n">
        <v>10000</v>
      </c>
      <c r="O101" s="6" t="n">
        <f aca="false">M101-N101</f>
        <v>190000</v>
      </c>
      <c r="P101" s="7" t="n">
        <v>0.12</v>
      </c>
      <c r="Q101" s="6" t="n">
        <f aca="false">ROUND(O101*P101/2,0)</f>
        <v>11400</v>
      </c>
      <c r="R101" s="6" t="n">
        <f aca="false">ROUND(O101*P101/2,0)</f>
        <v>11400</v>
      </c>
      <c r="S101" s="6" t="n">
        <v>0</v>
      </c>
      <c r="T101" s="6" t="n">
        <f aca="false">O101+Q101+R101+S101</f>
        <v>212800</v>
      </c>
      <c r="U101" s="5" t="n">
        <v>138000</v>
      </c>
      <c r="V101" s="6" t="n">
        <f aca="false">T101-U101</f>
        <v>74800</v>
      </c>
      <c r="W101" s="4" t="s">
        <v>1957</v>
      </c>
      <c r="X101" s="3" t="n">
        <v>45962</v>
      </c>
      <c r="Y101" s="4" t="s">
        <v>53</v>
      </c>
      <c r="Z101" s="2" t="s">
        <v>1095</v>
      </c>
      <c r="AA101" s="2"/>
    </row>
    <row r="102" customFormat="false" ht="15" hidden="false" customHeight="false" outlineLevel="0" collapsed="false">
      <c r="A102" s="2" t="s">
        <v>2193</v>
      </c>
      <c r="B102" s="2" t="s">
        <v>1309</v>
      </c>
      <c r="C102" s="3" t="n">
        <v>45957</v>
      </c>
      <c r="D102" s="3" t="n">
        <v>46002</v>
      </c>
      <c r="E102" s="4" t="s">
        <v>2068</v>
      </c>
      <c r="F102" s="2" t="s">
        <v>533</v>
      </c>
      <c r="G102" s="2" t="s">
        <v>534</v>
      </c>
      <c r="H102" s="4" t="s">
        <v>58</v>
      </c>
      <c r="I102" s="2" t="s">
        <v>2194</v>
      </c>
      <c r="J102" s="2" t="s">
        <v>2070</v>
      </c>
      <c r="K102" s="4" t="n">
        <v>1</v>
      </c>
      <c r="L102" s="5" t="n">
        <v>550000</v>
      </c>
      <c r="M102" s="6" t="n">
        <f aca="false">K102*L102</f>
        <v>550000</v>
      </c>
      <c r="N102" s="5" t="n">
        <v>16500</v>
      </c>
      <c r="O102" s="6" t="n">
        <f aca="false">M102-N102</f>
        <v>533500</v>
      </c>
      <c r="P102" s="7" t="n">
        <v>0.18</v>
      </c>
      <c r="Q102" s="6" t="n">
        <f aca="false">ROUND(O102*P102/2,0)</f>
        <v>48015</v>
      </c>
      <c r="R102" s="6" t="n">
        <f aca="false">ROUND(O102*P102/2,0)</f>
        <v>48015</v>
      </c>
      <c r="S102" s="6" t="n">
        <v>0</v>
      </c>
      <c r="T102" s="6" t="n">
        <f aca="false">O102+Q102+R102+S102</f>
        <v>629530</v>
      </c>
      <c r="U102" s="5" t="n">
        <v>629530</v>
      </c>
      <c r="V102" s="6" t="n">
        <f aca="false">T102-U102</f>
        <v>0</v>
      </c>
      <c r="W102" s="4" t="s">
        <v>1960</v>
      </c>
      <c r="X102" s="3" t="n">
        <v>45999</v>
      </c>
      <c r="Y102" s="4" t="s">
        <v>99</v>
      </c>
      <c r="Z102" s="2" t="s">
        <v>1305</v>
      </c>
      <c r="AA102" s="2"/>
    </row>
    <row r="103" customFormat="false" ht="15" hidden="false" customHeight="false" outlineLevel="0" collapsed="false">
      <c r="A103" s="2" t="s">
        <v>2195</v>
      </c>
      <c r="B103" s="2" t="s">
        <v>1215</v>
      </c>
      <c r="C103" s="3" t="n">
        <v>45958</v>
      </c>
      <c r="D103" s="3" t="n">
        <v>45973</v>
      </c>
      <c r="E103" s="4" t="s">
        <v>2068</v>
      </c>
      <c r="F103" s="2" t="s">
        <v>533</v>
      </c>
      <c r="G103" s="2" t="s">
        <v>534</v>
      </c>
      <c r="H103" s="4" t="s">
        <v>58</v>
      </c>
      <c r="I103" s="2" t="s">
        <v>2196</v>
      </c>
      <c r="J103" s="2" t="s">
        <v>2111</v>
      </c>
      <c r="K103" s="4" t="n">
        <v>1</v>
      </c>
      <c r="L103" s="5" t="n">
        <v>700000</v>
      </c>
      <c r="M103" s="6" t="n">
        <f aca="false">K103*L103</f>
        <v>700000</v>
      </c>
      <c r="N103" s="5" t="n">
        <v>0</v>
      </c>
      <c r="O103" s="6" t="n">
        <f aca="false">M103-N103</f>
        <v>700000</v>
      </c>
      <c r="P103" s="7" t="n">
        <v>0.18</v>
      </c>
      <c r="Q103" s="6" t="n">
        <f aca="false">ROUND(O103*P103/2,0)</f>
        <v>63000</v>
      </c>
      <c r="R103" s="6" t="n">
        <f aca="false">ROUND(O103*P103/2,0)</f>
        <v>63000</v>
      </c>
      <c r="S103" s="6" t="n">
        <v>0</v>
      </c>
      <c r="T103" s="6" t="n">
        <f aca="false">O103+Q103+R103+S103</f>
        <v>826000</v>
      </c>
      <c r="U103" s="5" t="n">
        <v>826000</v>
      </c>
      <c r="V103" s="6" t="n">
        <f aca="false">T103-U103</f>
        <v>0</v>
      </c>
      <c r="W103" s="4" t="s">
        <v>1960</v>
      </c>
      <c r="X103" s="3" t="n">
        <v>45984</v>
      </c>
      <c r="Y103" s="4" t="s">
        <v>74</v>
      </c>
      <c r="Z103" s="2" t="s">
        <v>1211</v>
      </c>
      <c r="AA103" s="2"/>
    </row>
    <row r="104" customFormat="false" ht="15" hidden="false" customHeight="false" outlineLevel="0" collapsed="false">
      <c r="A104" s="2" t="s">
        <v>2197</v>
      </c>
      <c r="B104" s="2" t="s">
        <v>1145</v>
      </c>
      <c r="C104" s="3" t="n">
        <v>45960</v>
      </c>
      <c r="D104" s="3" t="n">
        <v>45975</v>
      </c>
      <c r="E104" s="4" t="s">
        <v>2068</v>
      </c>
      <c r="F104" s="2" t="s">
        <v>474</v>
      </c>
      <c r="G104" s="2" t="s">
        <v>475</v>
      </c>
      <c r="H104" s="4" t="s">
        <v>58</v>
      </c>
      <c r="I104" s="2" t="s">
        <v>2198</v>
      </c>
      <c r="J104" s="2" t="s">
        <v>2124</v>
      </c>
      <c r="K104" s="4" t="n">
        <v>1</v>
      </c>
      <c r="L104" s="5" t="n">
        <v>320000</v>
      </c>
      <c r="M104" s="6" t="n">
        <f aca="false">K104*L104</f>
        <v>320000</v>
      </c>
      <c r="N104" s="5" t="n">
        <v>25600</v>
      </c>
      <c r="O104" s="6" t="n">
        <f aca="false">M104-N104</f>
        <v>294400</v>
      </c>
      <c r="P104" s="7" t="n">
        <v>0.18</v>
      </c>
      <c r="Q104" s="6" t="n">
        <v>0</v>
      </c>
      <c r="R104" s="6" t="n">
        <v>0</v>
      </c>
      <c r="S104" s="6" t="n">
        <f aca="false">ROUND(O104*P104,0)</f>
        <v>52992</v>
      </c>
      <c r="T104" s="6" t="n">
        <f aca="false">O104+Q104+R104+S104</f>
        <v>347392</v>
      </c>
      <c r="U104" s="5" t="n">
        <v>347392</v>
      </c>
      <c r="V104" s="6" t="n">
        <f aca="false">T104-U104</f>
        <v>0</v>
      </c>
      <c r="W104" s="4" t="s">
        <v>1960</v>
      </c>
      <c r="X104" s="3" t="n">
        <v>45968</v>
      </c>
      <c r="Y104" s="4" t="s">
        <v>74</v>
      </c>
      <c r="Z104" s="2" t="s">
        <v>2199</v>
      </c>
      <c r="AA104" s="2" t="s">
        <v>2200</v>
      </c>
    </row>
    <row r="105" customFormat="false" ht="15" hidden="false" customHeight="false" outlineLevel="0" collapsed="false">
      <c r="A105" s="2" t="s">
        <v>2201</v>
      </c>
      <c r="B105" s="2" t="s">
        <v>1238</v>
      </c>
      <c r="C105" s="3" t="n">
        <v>45968</v>
      </c>
      <c r="D105" s="3" t="n">
        <v>46013</v>
      </c>
      <c r="E105" s="4" t="s">
        <v>2068</v>
      </c>
      <c r="F105" s="2" t="s">
        <v>56</v>
      </c>
      <c r="G105" s="2" t="s">
        <v>57</v>
      </c>
      <c r="H105" s="4" t="s">
        <v>58</v>
      </c>
      <c r="I105" s="2" t="s">
        <v>2202</v>
      </c>
      <c r="J105" s="2" t="s">
        <v>2085</v>
      </c>
      <c r="K105" s="4" t="n">
        <v>1</v>
      </c>
      <c r="L105" s="5" t="n">
        <v>130000</v>
      </c>
      <c r="M105" s="6" t="n">
        <f aca="false">K105*L105</f>
        <v>130000</v>
      </c>
      <c r="N105" s="5" t="n">
        <v>0</v>
      </c>
      <c r="O105" s="6" t="n">
        <f aca="false">M105-N105</f>
        <v>130000</v>
      </c>
      <c r="P105" s="7" t="n">
        <v>0.18</v>
      </c>
      <c r="Q105" s="6" t="n">
        <v>0</v>
      </c>
      <c r="R105" s="6" t="n">
        <v>0</v>
      </c>
      <c r="S105" s="6" t="n">
        <f aca="false">ROUND(O105*P105,0)</f>
        <v>23400</v>
      </c>
      <c r="T105" s="6" t="n">
        <f aca="false">O105+Q105+R105+S105</f>
        <v>153400</v>
      </c>
      <c r="U105" s="5" t="n">
        <v>153400</v>
      </c>
      <c r="V105" s="6" t="n">
        <f aca="false">T105-U105</f>
        <v>0</v>
      </c>
      <c r="W105" s="4" t="s">
        <v>1960</v>
      </c>
      <c r="X105" s="3" t="n">
        <v>45989</v>
      </c>
      <c r="Y105" s="4" t="s">
        <v>99</v>
      </c>
      <c r="Z105" s="2" t="s">
        <v>1234</v>
      </c>
      <c r="AA105" s="2" t="s">
        <v>2203</v>
      </c>
    </row>
    <row r="106" customFormat="false" ht="15" hidden="false" customHeight="false" outlineLevel="0" collapsed="false">
      <c r="A106" s="2" t="s">
        <v>2204</v>
      </c>
      <c r="B106" s="2" t="s">
        <v>2205</v>
      </c>
      <c r="C106" s="3" t="n">
        <v>45971</v>
      </c>
      <c r="D106" s="3" t="n">
        <v>45986</v>
      </c>
      <c r="E106" s="4" t="s">
        <v>2068</v>
      </c>
      <c r="F106" s="2" t="s">
        <v>756</v>
      </c>
      <c r="G106" s="2" t="s">
        <v>757</v>
      </c>
      <c r="H106" s="4" t="s">
        <v>58</v>
      </c>
      <c r="I106" s="2" t="s">
        <v>2206</v>
      </c>
      <c r="J106" s="2" t="s">
        <v>2179</v>
      </c>
      <c r="K106" s="4" t="n">
        <v>1</v>
      </c>
      <c r="L106" s="5" t="n">
        <v>100000</v>
      </c>
      <c r="M106" s="6" t="n">
        <f aca="false">K106*L106</f>
        <v>100000</v>
      </c>
      <c r="N106" s="5" t="n">
        <v>0</v>
      </c>
      <c r="O106" s="6" t="n">
        <f aca="false">M106-N106</f>
        <v>100000</v>
      </c>
      <c r="P106" s="7" t="n">
        <v>0.12</v>
      </c>
      <c r="Q106" s="6" t="n">
        <v>0</v>
      </c>
      <c r="R106" s="6" t="n">
        <v>0</v>
      </c>
      <c r="S106" s="6" t="n">
        <f aca="false">ROUND(O106*P106,0)</f>
        <v>12000</v>
      </c>
      <c r="T106" s="6" t="n">
        <f aca="false">O106+Q106+R106+S106</f>
        <v>112000</v>
      </c>
      <c r="U106" s="5" t="n">
        <v>112000</v>
      </c>
      <c r="V106" s="6" t="n">
        <f aca="false">T106-U106</f>
        <v>0</v>
      </c>
      <c r="W106" s="4" t="s">
        <v>1960</v>
      </c>
      <c r="X106" s="3" t="n">
        <v>45984</v>
      </c>
      <c r="Y106" s="4" t="s">
        <v>53</v>
      </c>
      <c r="Z106" s="2" t="s">
        <v>1216</v>
      </c>
      <c r="AA106" s="2" t="s">
        <v>2207</v>
      </c>
    </row>
    <row r="107" customFormat="false" ht="15" hidden="false" customHeight="false" outlineLevel="0" collapsed="false">
      <c r="A107" s="2" t="s">
        <v>2208</v>
      </c>
      <c r="B107" s="2" t="s">
        <v>2209</v>
      </c>
      <c r="C107" s="3" t="n">
        <v>45971</v>
      </c>
      <c r="D107" s="3" t="n">
        <v>45986</v>
      </c>
      <c r="E107" s="4" t="s">
        <v>2068</v>
      </c>
      <c r="F107" s="2" t="s">
        <v>533</v>
      </c>
      <c r="G107" s="2" t="s">
        <v>534</v>
      </c>
      <c r="H107" s="4" t="s">
        <v>58</v>
      </c>
      <c r="I107" s="2" t="s">
        <v>2210</v>
      </c>
      <c r="J107" s="2" t="s">
        <v>2097</v>
      </c>
      <c r="K107" s="4" t="n">
        <v>1</v>
      </c>
      <c r="L107" s="5" t="n">
        <v>320000</v>
      </c>
      <c r="M107" s="6" t="n">
        <f aca="false">K107*L107</f>
        <v>320000</v>
      </c>
      <c r="N107" s="5" t="n">
        <v>0</v>
      </c>
      <c r="O107" s="6" t="n">
        <f aca="false">M107-N107</f>
        <v>320000</v>
      </c>
      <c r="P107" s="7" t="n">
        <v>0.18</v>
      </c>
      <c r="Q107" s="6" t="n">
        <f aca="false">ROUND(O107*P107/2,0)</f>
        <v>28800</v>
      </c>
      <c r="R107" s="6" t="n">
        <f aca="false">ROUND(O107*P107/2,0)</f>
        <v>28800</v>
      </c>
      <c r="S107" s="6" t="n">
        <v>0</v>
      </c>
      <c r="T107" s="6" t="n">
        <f aca="false">O107+Q107+R107+S107</f>
        <v>377600</v>
      </c>
      <c r="U107" s="5" t="n">
        <v>377600</v>
      </c>
      <c r="V107" s="6" t="n">
        <f aca="false">T107-U107</f>
        <v>0</v>
      </c>
      <c r="W107" s="4" t="s">
        <v>1960</v>
      </c>
      <c r="X107" s="3" t="n">
        <v>45984</v>
      </c>
      <c r="Y107" s="4" t="s">
        <v>53</v>
      </c>
      <c r="Z107" s="2" t="s">
        <v>1216</v>
      </c>
      <c r="AA107" s="2" t="s">
        <v>2207</v>
      </c>
    </row>
    <row r="108" customFormat="false" ht="15" hidden="false" customHeight="false" outlineLevel="0" collapsed="false">
      <c r="A108" s="2" t="s">
        <v>2211</v>
      </c>
      <c r="B108" s="2" t="s">
        <v>1182</v>
      </c>
      <c r="C108" s="3" t="n">
        <v>45972</v>
      </c>
      <c r="D108" s="3" t="n">
        <v>46017</v>
      </c>
      <c r="E108" s="4" t="s">
        <v>2068</v>
      </c>
      <c r="F108" s="2" t="s">
        <v>947</v>
      </c>
      <c r="G108" s="2" t="s">
        <v>948</v>
      </c>
      <c r="H108" s="4" t="s">
        <v>58</v>
      </c>
      <c r="I108" s="2" t="s">
        <v>2212</v>
      </c>
      <c r="J108" s="2" t="s">
        <v>2179</v>
      </c>
      <c r="K108" s="4" t="n">
        <v>1</v>
      </c>
      <c r="L108" s="5" t="n">
        <v>200000</v>
      </c>
      <c r="M108" s="6" t="n">
        <f aca="false">K108*L108</f>
        <v>200000</v>
      </c>
      <c r="N108" s="5" t="n">
        <v>0</v>
      </c>
      <c r="O108" s="6" t="n">
        <f aca="false">M108-N108</f>
        <v>200000</v>
      </c>
      <c r="P108" s="7" t="n">
        <v>0.18</v>
      </c>
      <c r="Q108" s="6" t="n">
        <v>0</v>
      </c>
      <c r="R108" s="6" t="n">
        <v>0</v>
      </c>
      <c r="S108" s="6" t="n">
        <f aca="false">ROUND(O108*P108,0)</f>
        <v>36000</v>
      </c>
      <c r="T108" s="6" t="n">
        <f aca="false">O108+Q108+R108+S108</f>
        <v>236000</v>
      </c>
      <c r="U108" s="5" t="n">
        <v>236000</v>
      </c>
      <c r="V108" s="6" t="n">
        <f aca="false">T108-U108</f>
        <v>0</v>
      </c>
      <c r="W108" s="4" t="s">
        <v>1960</v>
      </c>
      <c r="X108" s="3" t="n">
        <v>46017</v>
      </c>
      <c r="Y108" s="4" t="s">
        <v>1970</v>
      </c>
      <c r="Z108" s="2" t="s">
        <v>2213</v>
      </c>
      <c r="AA108" s="2" t="s">
        <v>2135</v>
      </c>
    </row>
    <row r="109" customFormat="false" ht="15" hidden="false" customHeight="false" outlineLevel="0" collapsed="false">
      <c r="A109" s="2" t="s">
        <v>2214</v>
      </c>
      <c r="B109" s="2" t="s">
        <v>2215</v>
      </c>
      <c r="C109" s="3" t="n">
        <v>45978</v>
      </c>
      <c r="D109" s="3" t="n">
        <v>45993</v>
      </c>
      <c r="E109" s="4" t="s">
        <v>2068</v>
      </c>
      <c r="F109" s="2" t="s">
        <v>351</v>
      </c>
      <c r="G109" s="2" t="s">
        <v>352</v>
      </c>
      <c r="H109" s="4" t="s">
        <v>58</v>
      </c>
      <c r="I109" s="2" t="s">
        <v>2216</v>
      </c>
      <c r="J109" s="2" t="s">
        <v>2111</v>
      </c>
      <c r="K109" s="4" t="n">
        <v>1</v>
      </c>
      <c r="L109" s="5" t="n">
        <v>700000</v>
      </c>
      <c r="M109" s="6" t="n">
        <f aca="false">K109*L109</f>
        <v>700000</v>
      </c>
      <c r="N109" s="5" t="n">
        <v>35000</v>
      </c>
      <c r="O109" s="6" t="n">
        <f aca="false">M109-N109</f>
        <v>665000</v>
      </c>
      <c r="P109" s="7" t="n">
        <v>0.12</v>
      </c>
      <c r="Q109" s="6" t="n">
        <v>0</v>
      </c>
      <c r="R109" s="6" t="n">
        <v>0</v>
      </c>
      <c r="S109" s="6" t="n">
        <f aca="false">ROUND(O109*P109,0)</f>
        <v>79800</v>
      </c>
      <c r="T109" s="6" t="n">
        <f aca="false">O109+Q109+R109+S109</f>
        <v>744800</v>
      </c>
      <c r="U109" s="5" t="n">
        <v>744800</v>
      </c>
      <c r="V109" s="6" t="n">
        <f aca="false">T109-U109</f>
        <v>0</v>
      </c>
      <c r="W109" s="4" t="s">
        <v>1960</v>
      </c>
      <c r="X109" s="3" t="n">
        <v>45992</v>
      </c>
      <c r="Y109" s="4" t="s">
        <v>180</v>
      </c>
      <c r="Z109" s="2" t="s">
        <v>1270</v>
      </c>
      <c r="AA109" s="2" t="s">
        <v>2217</v>
      </c>
    </row>
    <row r="110" customFormat="false" ht="15" hidden="false" customHeight="false" outlineLevel="0" collapsed="false">
      <c r="A110" s="2" t="s">
        <v>2218</v>
      </c>
      <c r="B110" s="2" t="s">
        <v>2219</v>
      </c>
      <c r="C110" s="3" t="n">
        <v>45979</v>
      </c>
      <c r="D110" s="3" t="n">
        <v>45994</v>
      </c>
      <c r="E110" s="4" t="s">
        <v>2068</v>
      </c>
      <c r="F110" s="2" t="s">
        <v>947</v>
      </c>
      <c r="G110" s="2" t="s">
        <v>948</v>
      </c>
      <c r="H110" s="4" t="s">
        <v>58</v>
      </c>
      <c r="I110" s="2" t="s">
        <v>2220</v>
      </c>
      <c r="J110" s="2" t="s">
        <v>2080</v>
      </c>
      <c r="K110" s="4" t="n">
        <v>1</v>
      </c>
      <c r="L110" s="5" t="n">
        <v>100000</v>
      </c>
      <c r="M110" s="6" t="n">
        <f aca="false">K110*L110</f>
        <v>100000</v>
      </c>
      <c r="N110" s="5" t="n">
        <v>0</v>
      </c>
      <c r="O110" s="6" t="n">
        <f aca="false">M110-N110</f>
        <v>100000</v>
      </c>
      <c r="P110" s="7" t="n">
        <v>0.18</v>
      </c>
      <c r="Q110" s="6" t="n">
        <v>0</v>
      </c>
      <c r="R110" s="6" t="n">
        <v>0</v>
      </c>
      <c r="S110" s="6" t="n">
        <f aca="false">ROUND(O110*P110,0)</f>
        <v>18000</v>
      </c>
      <c r="T110" s="6" t="n">
        <f aca="false">O110+Q110+R110+S110</f>
        <v>118000</v>
      </c>
      <c r="U110" s="5" t="n">
        <v>118000</v>
      </c>
      <c r="V110" s="6" t="n">
        <f aca="false">T110-U110</f>
        <v>0</v>
      </c>
      <c r="W110" s="4" t="s">
        <v>1960</v>
      </c>
      <c r="X110" s="3" t="n">
        <v>45992</v>
      </c>
      <c r="Y110" s="4" t="s">
        <v>180</v>
      </c>
      <c r="Z110" s="2" t="s">
        <v>1270</v>
      </c>
      <c r="AA110" s="2" t="s">
        <v>2217</v>
      </c>
    </row>
    <row r="111" customFormat="false" ht="15" hidden="false" customHeight="false" outlineLevel="0" collapsed="false">
      <c r="A111" s="2" t="s">
        <v>2221</v>
      </c>
      <c r="B111" s="2" t="s">
        <v>2222</v>
      </c>
      <c r="C111" s="3" t="n">
        <v>45979</v>
      </c>
      <c r="D111" s="3" t="n">
        <v>45994</v>
      </c>
      <c r="E111" s="4" t="s">
        <v>2068</v>
      </c>
      <c r="F111" s="2" t="s">
        <v>764</v>
      </c>
      <c r="G111" s="2" t="s">
        <v>765</v>
      </c>
      <c r="H111" s="4" t="s">
        <v>58</v>
      </c>
      <c r="I111" s="2" t="s">
        <v>2223</v>
      </c>
      <c r="J111" s="2" t="s">
        <v>2124</v>
      </c>
      <c r="K111" s="4" t="n">
        <v>1</v>
      </c>
      <c r="L111" s="5" t="n">
        <v>550000</v>
      </c>
      <c r="M111" s="6" t="n">
        <f aca="false">K111*L111</f>
        <v>550000</v>
      </c>
      <c r="N111" s="5" t="n">
        <v>0</v>
      </c>
      <c r="O111" s="6" t="n">
        <f aca="false">M111-N111</f>
        <v>550000</v>
      </c>
      <c r="P111" s="7" t="n">
        <v>0.18</v>
      </c>
      <c r="Q111" s="6" t="n">
        <v>0</v>
      </c>
      <c r="R111" s="6" t="n">
        <v>0</v>
      </c>
      <c r="S111" s="6" t="n">
        <f aca="false">ROUND(O111*P111,0)</f>
        <v>99000</v>
      </c>
      <c r="T111" s="6" t="n">
        <f aca="false">O111+Q111+R111+S111</f>
        <v>649000</v>
      </c>
      <c r="U111" s="5" t="n">
        <v>649000</v>
      </c>
      <c r="V111" s="6" t="n">
        <f aca="false">T111-U111</f>
        <v>0</v>
      </c>
      <c r="W111" s="4" t="s">
        <v>1960</v>
      </c>
      <c r="X111" s="3" t="n">
        <v>45992</v>
      </c>
      <c r="Y111" s="4" t="s">
        <v>180</v>
      </c>
      <c r="Z111" s="2" t="s">
        <v>1270</v>
      </c>
      <c r="AA111" s="2" t="s">
        <v>2217</v>
      </c>
    </row>
    <row r="112" customFormat="false" ht="15" hidden="false" customHeight="false" outlineLevel="0" collapsed="false">
      <c r="A112" s="2" t="s">
        <v>2224</v>
      </c>
      <c r="B112" s="2" t="s">
        <v>1280</v>
      </c>
      <c r="C112" s="3" t="n">
        <v>45979</v>
      </c>
      <c r="D112" s="3" t="n">
        <v>46024</v>
      </c>
      <c r="E112" s="4" t="s">
        <v>2068</v>
      </c>
      <c r="F112" s="2" t="s">
        <v>639</v>
      </c>
      <c r="G112" s="2" t="s">
        <v>640</v>
      </c>
      <c r="H112" s="4" t="s">
        <v>58</v>
      </c>
      <c r="I112" s="2" t="s">
        <v>2225</v>
      </c>
      <c r="J112" s="2" t="s">
        <v>2080</v>
      </c>
      <c r="K112" s="4" t="n">
        <v>1</v>
      </c>
      <c r="L112" s="5" t="n">
        <v>700000</v>
      </c>
      <c r="M112" s="6" t="n">
        <f aca="false">K112*L112</f>
        <v>700000</v>
      </c>
      <c r="N112" s="5" t="n">
        <v>0</v>
      </c>
      <c r="O112" s="6" t="n">
        <f aca="false">M112-N112</f>
        <v>700000</v>
      </c>
      <c r="P112" s="7" t="n">
        <v>0.12</v>
      </c>
      <c r="Q112" s="6" t="n">
        <f aca="false">ROUND(O112*P112/2,0)</f>
        <v>42000</v>
      </c>
      <c r="R112" s="6" t="n">
        <f aca="false">ROUND(O112*P112/2,0)</f>
        <v>42000</v>
      </c>
      <c r="S112" s="6" t="n">
        <v>0</v>
      </c>
      <c r="T112" s="6" t="n">
        <f aca="false">O112+Q112+R112+S112</f>
        <v>784000</v>
      </c>
      <c r="U112" s="5" t="n">
        <v>784000</v>
      </c>
      <c r="V112" s="6" t="n">
        <f aca="false">T112-U112</f>
        <v>0</v>
      </c>
      <c r="W112" s="4" t="s">
        <v>1960</v>
      </c>
      <c r="X112" s="3" t="n">
        <v>46029</v>
      </c>
      <c r="Y112" s="4" t="s">
        <v>1970</v>
      </c>
      <c r="Z112" s="2" t="s">
        <v>2226</v>
      </c>
      <c r="AA112" s="2" t="s">
        <v>1972</v>
      </c>
    </row>
    <row r="113" customFormat="false" ht="15" hidden="false" customHeight="false" outlineLevel="0" collapsed="false">
      <c r="A113" s="2" t="s">
        <v>2227</v>
      </c>
      <c r="B113" s="2" t="s">
        <v>1427</v>
      </c>
      <c r="C113" s="3" t="n">
        <v>45979</v>
      </c>
      <c r="D113" s="3" t="n">
        <v>46009</v>
      </c>
      <c r="E113" s="4" t="s">
        <v>2068</v>
      </c>
      <c r="F113" s="2" t="s">
        <v>56</v>
      </c>
      <c r="G113" s="2" t="s">
        <v>57</v>
      </c>
      <c r="H113" s="4" t="s">
        <v>58</v>
      </c>
      <c r="I113" s="2" t="s">
        <v>2228</v>
      </c>
      <c r="J113" s="2" t="s">
        <v>2179</v>
      </c>
      <c r="K113" s="4" t="n">
        <v>1</v>
      </c>
      <c r="L113" s="5" t="n">
        <v>400000</v>
      </c>
      <c r="M113" s="6" t="n">
        <f aca="false">K113*L113</f>
        <v>400000</v>
      </c>
      <c r="N113" s="5" t="n">
        <v>12000</v>
      </c>
      <c r="O113" s="6" t="n">
        <f aca="false">M113-N113</f>
        <v>388000</v>
      </c>
      <c r="P113" s="7" t="n">
        <v>0.18</v>
      </c>
      <c r="Q113" s="6" t="n">
        <v>0</v>
      </c>
      <c r="R113" s="6" t="n">
        <v>0</v>
      </c>
      <c r="S113" s="6" t="n">
        <f aca="false">ROUND(O113*P113,0)</f>
        <v>69840</v>
      </c>
      <c r="T113" s="6" t="n">
        <f aca="false">O113+Q113+R113+S113</f>
        <v>457840</v>
      </c>
      <c r="U113" s="5" t="n">
        <v>457840</v>
      </c>
      <c r="V113" s="6" t="n">
        <f aca="false">T113-U113</f>
        <v>0</v>
      </c>
      <c r="W113" s="4" t="s">
        <v>1960</v>
      </c>
      <c r="X113" s="3" t="n">
        <v>46021</v>
      </c>
      <c r="Y113" s="4" t="s">
        <v>74</v>
      </c>
      <c r="Z113" s="2" t="s">
        <v>1423</v>
      </c>
      <c r="AA113" s="2"/>
    </row>
    <row r="114" customFormat="false" ht="15" hidden="false" customHeight="false" outlineLevel="0" collapsed="false">
      <c r="A114" s="2" t="s">
        <v>2229</v>
      </c>
      <c r="B114" s="2" t="s">
        <v>1319</v>
      </c>
      <c r="C114" s="3" t="n">
        <v>45984</v>
      </c>
      <c r="D114" s="3" t="n">
        <v>45999</v>
      </c>
      <c r="E114" s="4" t="s">
        <v>2068</v>
      </c>
      <c r="F114" s="2" t="s">
        <v>465</v>
      </c>
      <c r="G114" s="2" t="s">
        <v>466</v>
      </c>
      <c r="H114" s="4" t="s">
        <v>58</v>
      </c>
      <c r="I114" s="2" t="s">
        <v>2230</v>
      </c>
      <c r="J114" s="2" t="s">
        <v>2179</v>
      </c>
      <c r="K114" s="4" t="n">
        <v>1</v>
      </c>
      <c r="L114" s="5" t="n">
        <v>100000</v>
      </c>
      <c r="M114" s="6" t="n">
        <f aca="false">K114*L114</f>
        <v>100000</v>
      </c>
      <c r="N114" s="5" t="n">
        <v>0</v>
      </c>
      <c r="O114" s="6" t="n">
        <f aca="false">M114-N114</f>
        <v>100000</v>
      </c>
      <c r="P114" s="7" t="n">
        <v>0.18</v>
      </c>
      <c r="Q114" s="6" t="n">
        <v>0</v>
      </c>
      <c r="R114" s="6" t="n">
        <v>0</v>
      </c>
      <c r="S114" s="6" t="n">
        <f aca="false">ROUND(O114*P114,0)</f>
        <v>18000</v>
      </c>
      <c r="T114" s="6" t="n">
        <f aca="false">O114+Q114+R114+S114</f>
        <v>118000</v>
      </c>
      <c r="U114" s="5" t="n">
        <v>41400</v>
      </c>
      <c r="V114" s="6" t="n">
        <f aca="false">T114-U114</f>
        <v>76600</v>
      </c>
      <c r="W114" s="4" t="s">
        <v>1957</v>
      </c>
      <c r="X114" s="3" t="n">
        <v>46001</v>
      </c>
      <c r="Y114" s="4" t="s">
        <v>99</v>
      </c>
      <c r="Z114" s="2" t="s">
        <v>1315</v>
      </c>
      <c r="AA114" s="2"/>
    </row>
    <row r="115" customFormat="false" ht="15" hidden="false" customHeight="false" outlineLevel="0" collapsed="false">
      <c r="A115" s="2" t="s">
        <v>2231</v>
      </c>
      <c r="B115" s="2" t="s">
        <v>1393</v>
      </c>
      <c r="C115" s="3" t="n">
        <v>45986</v>
      </c>
      <c r="D115" s="3" t="n">
        <v>46016</v>
      </c>
      <c r="E115" s="4" t="s">
        <v>2068</v>
      </c>
      <c r="F115" s="2" t="s">
        <v>1230</v>
      </c>
      <c r="G115" s="2" t="s">
        <v>1231</v>
      </c>
      <c r="H115" s="4" t="s">
        <v>58</v>
      </c>
      <c r="I115" s="2" t="s">
        <v>2232</v>
      </c>
      <c r="J115" s="2" t="s">
        <v>2075</v>
      </c>
      <c r="K115" s="4" t="n">
        <v>1</v>
      </c>
      <c r="L115" s="5" t="n">
        <v>400000</v>
      </c>
      <c r="M115" s="6" t="n">
        <f aca="false">K115*L115</f>
        <v>400000</v>
      </c>
      <c r="N115" s="5" t="n">
        <v>0</v>
      </c>
      <c r="O115" s="6" t="n">
        <f aca="false">M115-N115</f>
        <v>400000</v>
      </c>
      <c r="P115" s="7" t="n">
        <v>0.18</v>
      </c>
      <c r="Q115" s="6" t="n">
        <v>0</v>
      </c>
      <c r="R115" s="6" t="n">
        <v>0</v>
      </c>
      <c r="S115" s="6" t="n">
        <f aca="false">ROUND(O115*P115,0)</f>
        <v>72000</v>
      </c>
      <c r="T115" s="6" t="n">
        <f aca="false">O115+Q115+R115+S115</f>
        <v>472000</v>
      </c>
      <c r="U115" s="5" t="n">
        <v>273500</v>
      </c>
      <c r="V115" s="6" t="n">
        <f aca="false">T115-U115</f>
        <v>198500</v>
      </c>
      <c r="W115" s="4" t="s">
        <v>1957</v>
      </c>
      <c r="X115" s="3" t="n">
        <v>46019</v>
      </c>
      <c r="Y115" s="4" t="s">
        <v>180</v>
      </c>
      <c r="Z115" s="2" t="s">
        <v>1389</v>
      </c>
      <c r="AA115" s="2"/>
    </row>
    <row r="116" customFormat="false" ht="15" hidden="false" customHeight="false" outlineLevel="0" collapsed="false">
      <c r="A116" s="2" t="s">
        <v>2233</v>
      </c>
      <c r="B116" s="2" t="s">
        <v>1323</v>
      </c>
      <c r="C116" s="3" t="n">
        <v>45990</v>
      </c>
      <c r="D116" s="3" t="n">
        <v>46020</v>
      </c>
      <c r="E116" s="4" t="s">
        <v>2068</v>
      </c>
      <c r="F116" s="2" t="s">
        <v>947</v>
      </c>
      <c r="G116" s="2" t="s">
        <v>948</v>
      </c>
      <c r="H116" s="4" t="s">
        <v>58</v>
      </c>
      <c r="I116" s="2" t="s">
        <v>2220</v>
      </c>
      <c r="J116" s="2" t="s">
        <v>2080</v>
      </c>
      <c r="K116" s="4" t="n">
        <v>1</v>
      </c>
      <c r="L116" s="5" t="n">
        <v>400000</v>
      </c>
      <c r="M116" s="6" t="n">
        <f aca="false">K116*L116</f>
        <v>400000</v>
      </c>
      <c r="N116" s="5" t="n">
        <v>32000</v>
      </c>
      <c r="O116" s="6" t="n">
        <f aca="false">M116-N116</f>
        <v>368000</v>
      </c>
      <c r="P116" s="7" t="n">
        <v>0.12</v>
      </c>
      <c r="Q116" s="6" t="n">
        <v>0</v>
      </c>
      <c r="R116" s="6" t="n">
        <v>0</v>
      </c>
      <c r="S116" s="6" t="n">
        <f aca="false">ROUND(O116*P116,0)</f>
        <v>44160</v>
      </c>
      <c r="T116" s="6" t="n">
        <f aca="false">O116+Q116+R116+S116</f>
        <v>412160</v>
      </c>
      <c r="U116" s="5" t="n">
        <v>158100</v>
      </c>
      <c r="V116" s="6" t="n">
        <f aca="false">T116-U116</f>
        <v>254060</v>
      </c>
      <c r="W116" s="4" t="s">
        <v>1957</v>
      </c>
      <c r="X116" s="3" t="n">
        <v>46001</v>
      </c>
      <c r="Y116" s="4" t="s">
        <v>99</v>
      </c>
      <c r="Z116" s="2" t="s">
        <v>1320</v>
      </c>
      <c r="AA116" s="2"/>
    </row>
    <row r="117" customFormat="false" ht="15" hidden="false" customHeight="false" outlineLevel="0" collapsed="false">
      <c r="A117" s="2" t="s">
        <v>2234</v>
      </c>
      <c r="B117" s="2" t="s">
        <v>2235</v>
      </c>
      <c r="C117" s="3" t="n">
        <v>45991</v>
      </c>
      <c r="D117" s="3" t="n">
        <v>46041</v>
      </c>
      <c r="E117" s="4" t="s">
        <v>2068</v>
      </c>
      <c r="F117" s="2" t="s">
        <v>56</v>
      </c>
      <c r="G117" s="2" t="s">
        <v>57</v>
      </c>
      <c r="H117" s="4" t="s">
        <v>58</v>
      </c>
      <c r="I117" s="2" t="s">
        <v>2236</v>
      </c>
      <c r="J117" s="2" t="s">
        <v>2111</v>
      </c>
      <c r="K117" s="4" t="n">
        <v>1</v>
      </c>
      <c r="L117" s="5" t="n">
        <v>70000</v>
      </c>
      <c r="M117" s="6" t="n">
        <f aca="false">K117*L117</f>
        <v>70000</v>
      </c>
      <c r="N117" s="5" t="n">
        <v>5600</v>
      </c>
      <c r="O117" s="6" t="n">
        <f aca="false">M117-N117</f>
        <v>64400</v>
      </c>
      <c r="P117" s="7" t="n">
        <v>0.18</v>
      </c>
      <c r="Q117" s="6" t="n">
        <v>0</v>
      </c>
      <c r="R117" s="6" t="n">
        <v>0</v>
      </c>
      <c r="S117" s="6" t="n">
        <f aca="false">ROUND(O117*P117,0)</f>
        <v>11592</v>
      </c>
      <c r="T117" s="6" t="n">
        <f aca="false">O117+Q117+R117+S117</f>
        <v>75992</v>
      </c>
      <c r="U117" s="5" t="n">
        <v>0</v>
      </c>
      <c r="V117" s="6" t="n">
        <f aca="false">T117-U117</f>
        <v>75992</v>
      </c>
      <c r="W117" s="4" t="s">
        <v>2023</v>
      </c>
      <c r="X117" s="3"/>
      <c r="Y117" s="4"/>
      <c r="Z117" s="2"/>
      <c r="AA117" s="2"/>
    </row>
    <row r="118" customFormat="false" ht="15" hidden="false" customHeight="false" outlineLevel="0" collapsed="false">
      <c r="A118" s="2" t="s">
        <v>2237</v>
      </c>
      <c r="B118" s="2" t="s">
        <v>1486</v>
      </c>
      <c r="C118" s="3" t="n">
        <v>45998</v>
      </c>
      <c r="D118" s="3" t="n">
        <v>46028</v>
      </c>
      <c r="E118" s="4" t="s">
        <v>2068</v>
      </c>
      <c r="F118" s="2" t="s">
        <v>947</v>
      </c>
      <c r="G118" s="2" t="s">
        <v>948</v>
      </c>
      <c r="H118" s="4" t="s">
        <v>58</v>
      </c>
      <c r="I118" s="2" t="s">
        <v>2238</v>
      </c>
      <c r="J118" s="2" t="s">
        <v>2089</v>
      </c>
      <c r="K118" s="4" t="n">
        <v>41</v>
      </c>
      <c r="L118" s="5" t="n">
        <v>4000</v>
      </c>
      <c r="M118" s="6" t="n">
        <f aca="false">K118*L118</f>
        <v>164000</v>
      </c>
      <c r="N118" s="5" t="n">
        <v>0</v>
      </c>
      <c r="O118" s="6" t="n">
        <f aca="false">M118-N118</f>
        <v>164000</v>
      </c>
      <c r="P118" s="7" t="n">
        <v>0.18</v>
      </c>
      <c r="Q118" s="6" t="n">
        <v>0</v>
      </c>
      <c r="R118" s="6" t="n">
        <v>0</v>
      </c>
      <c r="S118" s="6" t="n">
        <f aca="false">ROUND(O118*P118,0)</f>
        <v>29520</v>
      </c>
      <c r="T118" s="6" t="n">
        <f aca="false">O118+Q118+R118+S118</f>
        <v>193520</v>
      </c>
      <c r="U118" s="5" t="n">
        <v>193520</v>
      </c>
      <c r="V118" s="6" t="n">
        <f aca="false">T118-U118</f>
        <v>0</v>
      </c>
      <c r="W118" s="4" t="s">
        <v>1960</v>
      </c>
      <c r="X118" s="3" t="n">
        <v>46033</v>
      </c>
      <c r="Y118" s="4" t="s">
        <v>74</v>
      </c>
      <c r="Z118" s="2" t="s">
        <v>1483</v>
      </c>
      <c r="AA118" s="2"/>
    </row>
    <row r="119" customFormat="false" ht="15" hidden="false" customHeight="false" outlineLevel="0" collapsed="false">
      <c r="A119" s="2" t="s">
        <v>2239</v>
      </c>
      <c r="B119" s="2" t="s">
        <v>1435</v>
      </c>
      <c r="C119" s="3" t="n">
        <v>45999</v>
      </c>
      <c r="D119" s="3" t="n">
        <v>46029</v>
      </c>
      <c r="E119" s="4" t="s">
        <v>2068</v>
      </c>
      <c r="F119" s="2" t="s">
        <v>960</v>
      </c>
      <c r="G119" s="2" t="s">
        <v>961</v>
      </c>
      <c r="H119" s="4" t="s">
        <v>58</v>
      </c>
      <c r="I119" s="2" t="s">
        <v>2240</v>
      </c>
      <c r="J119" s="2" t="s">
        <v>2111</v>
      </c>
      <c r="K119" s="4" t="n">
        <v>1</v>
      </c>
      <c r="L119" s="5" t="n">
        <v>320000</v>
      </c>
      <c r="M119" s="6" t="n">
        <f aca="false">K119*L119</f>
        <v>320000</v>
      </c>
      <c r="N119" s="5" t="n">
        <v>0</v>
      </c>
      <c r="O119" s="6" t="n">
        <f aca="false">M119-N119</f>
        <v>320000</v>
      </c>
      <c r="P119" s="7" t="n">
        <v>0.18</v>
      </c>
      <c r="Q119" s="6" t="n">
        <f aca="false">ROUND(O119*P119/2,0)</f>
        <v>28800</v>
      </c>
      <c r="R119" s="6" t="n">
        <f aca="false">ROUND(O119*P119/2,0)</f>
        <v>28800</v>
      </c>
      <c r="S119" s="6" t="n">
        <v>0</v>
      </c>
      <c r="T119" s="6" t="n">
        <f aca="false">O119+Q119+R119+S119</f>
        <v>377600</v>
      </c>
      <c r="U119" s="5" t="n">
        <v>377600</v>
      </c>
      <c r="V119" s="6" t="n">
        <f aca="false">T119-U119</f>
        <v>0</v>
      </c>
      <c r="W119" s="4" t="s">
        <v>1960</v>
      </c>
      <c r="X119" s="3" t="n">
        <v>46024</v>
      </c>
      <c r="Y119" s="4" t="s">
        <v>99</v>
      </c>
      <c r="Z119" s="2" t="s">
        <v>1431</v>
      </c>
      <c r="AA119" s="2" t="s">
        <v>2241</v>
      </c>
    </row>
    <row r="120" customFormat="false" ht="15" hidden="false" customHeight="false" outlineLevel="0" collapsed="false">
      <c r="A120" s="2" t="s">
        <v>2242</v>
      </c>
      <c r="B120" s="2" t="s">
        <v>1360</v>
      </c>
      <c r="C120" s="3" t="n">
        <v>46000</v>
      </c>
      <c r="D120" s="3" t="n">
        <v>46015</v>
      </c>
      <c r="E120" s="4" t="s">
        <v>2068</v>
      </c>
      <c r="F120" s="2" t="s">
        <v>533</v>
      </c>
      <c r="G120" s="2" t="s">
        <v>534</v>
      </c>
      <c r="H120" s="4" t="s">
        <v>58</v>
      </c>
      <c r="I120" s="2" t="s">
        <v>2243</v>
      </c>
      <c r="J120" s="2" t="s">
        <v>2172</v>
      </c>
      <c r="K120" s="4" t="n">
        <v>1</v>
      </c>
      <c r="L120" s="5" t="n">
        <v>130000</v>
      </c>
      <c r="M120" s="6" t="n">
        <f aca="false">K120*L120</f>
        <v>130000</v>
      </c>
      <c r="N120" s="5" t="n">
        <v>3900</v>
      </c>
      <c r="O120" s="6" t="n">
        <f aca="false">M120-N120</f>
        <v>126100</v>
      </c>
      <c r="P120" s="7" t="n">
        <v>0.18</v>
      </c>
      <c r="Q120" s="6" t="n">
        <f aca="false">ROUND(O120*P120/2,0)</f>
        <v>11349</v>
      </c>
      <c r="R120" s="6" t="n">
        <f aca="false">ROUND(O120*P120/2,0)</f>
        <v>11349</v>
      </c>
      <c r="S120" s="6" t="n">
        <v>0</v>
      </c>
      <c r="T120" s="6" t="n">
        <f aca="false">O120+Q120+R120+S120</f>
        <v>148798</v>
      </c>
      <c r="U120" s="5" t="n">
        <v>148798</v>
      </c>
      <c r="V120" s="6" t="n">
        <f aca="false">T120-U120</f>
        <v>0</v>
      </c>
      <c r="W120" s="4" t="s">
        <v>1960</v>
      </c>
      <c r="X120" s="3" t="n">
        <v>46027</v>
      </c>
      <c r="Y120" s="4" t="s">
        <v>1970</v>
      </c>
      <c r="Z120" s="2" t="s">
        <v>2244</v>
      </c>
      <c r="AA120" s="2" t="s">
        <v>1972</v>
      </c>
    </row>
    <row r="121" customFormat="false" ht="15" hidden="false" customHeight="false" outlineLevel="0" collapsed="false">
      <c r="A121" s="2" t="s">
        <v>2245</v>
      </c>
      <c r="B121" s="2" t="s">
        <v>1477</v>
      </c>
      <c r="C121" s="3" t="n">
        <v>46002</v>
      </c>
      <c r="D121" s="3" t="n">
        <v>46032</v>
      </c>
      <c r="E121" s="4" t="s">
        <v>2068</v>
      </c>
      <c r="F121" s="2" t="s">
        <v>1136</v>
      </c>
      <c r="G121" s="2" t="s">
        <v>1137</v>
      </c>
      <c r="H121" s="4" t="s">
        <v>58</v>
      </c>
      <c r="I121" s="2" t="s">
        <v>2246</v>
      </c>
      <c r="J121" s="2" t="s">
        <v>2089</v>
      </c>
      <c r="K121" s="4" t="n">
        <v>48</v>
      </c>
      <c r="L121" s="5" t="n">
        <v>4000</v>
      </c>
      <c r="M121" s="6" t="n">
        <f aca="false">K121*L121</f>
        <v>192000</v>
      </c>
      <c r="N121" s="5" t="n">
        <v>0</v>
      </c>
      <c r="O121" s="6" t="n">
        <f aca="false">M121-N121</f>
        <v>192000</v>
      </c>
      <c r="P121" s="7" t="n">
        <v>0.18</v>
      </c>
      <c r="Q121" s="6" t="n">
        <v>0</v>
      </c>
      <c r="R121" s="6" t="n">
        <v>0</v>
      </c>
      <c r="S121" s="6" t="n">
        <f aca="false">ROUND(O121*P121,0)</f>
        <v>34560</v>
      </c>
      <c r="T121" s="6" t="n">
        <f aca="false">O121+Q121+R121+S121</f>
        <v>226560</v>
      </c>
      <c r="U121" s="5" t="n">
        <v>226560</v>
      </c>
      <c r="V121" s="6" t="n">
        <f aca="false">T121-U121</f>
        <v>0</v>
      </c>
      <c r="W121" s="4" t="s">
        <v>1960</v>
      </c>
      <c r="X121" s="3" t="n">
        <v>46032</v>
      </c>
      <c r="Y121" s="4" t="s">
        <v>685</v>
      </c>
      <c r="Z121" s="2" t="s">
        <v>1473</v>
      </c>
      <c r="AA121" s="2"/>
    </row>
    <row r="122" customFormat="false" ht="15" hidden="false" customHeight="false" outlineLevel="0" collapsed="false">
      <c r="A122" s="2" t="s">
        <v>2247</v>
      </c>
      <c r="B122" s="2" t="s">
        <v>2248</v>
      </c>
      <c r="C122" s="3" t="n">
        <v>46006</v>
      </c>
      <c r="D122" s="3" t="n">
        <v>46051</v>
      </c>
      <c r="E122" s="4" t="s">
        <v>2068</v>
      </c>
      <c r="F122" s="2" t="s">
        <v>474</v>
      </c>
      <c r="G122" s="2" t="s">
        <v>475</v>
      </c>
      <c r="H122" s="4" t="s">
        <v>58</v>
      </c>
      <c r="I122" s="2" t="s">
        <v>2249</v>
      </c>
      <c r="J122" s="2" t="s">
        <v>2089</v>
      </c>
      <c r="K122" s="4" t="n">
        <v>45</v>
      </c>
      <c r="L122" s="5" t="n">
        <v>4000</v>
      </c>
      <c r="M122" s="6" t="n">
        <f aca="false">K122*L122</f>
        <v>180000</v>
      </c>
      <c r="N122" s="5" t="n">
        <v>14400</v>
      </c>
      <c r="O122" s="6" t="n">
        <f aca="false">M122-N122</f>
        <v>165600</v>
      </c>
      <c r="P122" s="7" t="n">
        <v>0.28</v>
      </c>
      <c r="Q122" s="6" t="n">
        <v>0</v>
      </c>
      <c r="R122" s="6" t="n">
        <v>0</v>
      </c>
      <c r="S122" s="6" t="n">
        <f aca="false">ROUND(O122*P122,0)</f>
        <v>46368</v>
      </c>
      <c r="T122" s="6" t="n">
        <f aca="false">O122+Q122+R122+S122</f>
        <v>211968</v>
      </c>
      <c r="U122" s="5" t="n">
        <v>0</v>
      </c>
      <c r="V122" s="6" t="n">
        <f aca="false">T122-U122</f>
        <v>211968</v>
      </c>
      <c r="W122" s="4" t="s">
        <v>2023</v>
      </c>
      <c r="X122" s="3"/>
      <c r="Y122" s="4"/>
      <c r="Z122" s="2"/>
      <c r="AA122" s="2"/>
    </row>
    <row r="123" customFormat="false" ht="15" hidden="false" customHeight="false" outlineLevel="0" collapsed="false">
      <c r="A123" s="2" t="s">
        <v>2250</v>
      </c>
      <c r="B123" s="2" t="s">
        <v>1538</v>
      </c>
      <c r="C123" s="3" t="n">
        <v>46010</v>
      </c>
      <c r="D123" s="3" t="n">
        <v>46040</v>
      </c>
      <c r="E123" s="4" t="s">
        <v>2068</v>
      </c>
      <c r="F123" s="2" t="s">
        <v>1136</v>
      </c>
      <c r="G123" s="2" t="s">
        <v>1137</v>
      </c>
      <c r="H123" s="4" t="s">
        <v>58</v>
      </c>
      <c r="I123" s="2" t="s">
        <v>2251</v>
      </c>
      <c r="J123" s="2" t="s">
        <v>2092</v>
      </c>
      <c r="K123" s="4" t="n">
        <v>1</v>
      </c>
      <c r="L123" s="5" t="n">
        <v>100000</v>
      </c>
      <c r="M123" s="6" t="n">
        <f aca="false">K123*L123</f>
        <v>100000</v>
      </c>
      <c r="N123" s="5" t="n">
        <v>0</v>
      </c>
      <c r="O123" s="6" t="n">
        <f aca="false">M123-N123</f>
        <v>100000</v>
      </c>
      <c r="P123" s="7" t="n">
        <v>0.28</v>
      </c>
      <c r="Q123" s="6" t="n">
        <v>0</v>
      </c>
      <c r="R123" s="6" t="n">
        <v>0</v>
      </c>
      <c r="S123" s="6" t="n">
        <f aca="false">ROUND(O123*P123,0)</f>
        <v>28000</v>
      </c>
      <c r="T123" s="6" t="n">
        <f aca="false">O123+Q123+R123+S123</f>
        <v>128000</v>
      </c>
      <c r="U123" s="5" t="n">
        <v>128000</v>
      </c>
      <c r="V123" s="6" t="n">
        <f aca="false">T123-U123</f>
        <v>0</v>
      </c>
      <c r="W123" s="4" t="s">
        <v>1960</v>
      </c>
      <c r="X123" s="3" t="n">
        <v>46044</v>
      </c>
      <c r="Y123" s="4" t="s">
        <v>99</v>
      </c>
      <c r="Z123" s="2" t="s">
        <v>1535</v>
      </c>
      <c r="AA123" s="2"/>
    </row>
    <row r="124" customFormat="false" ht="15" hidden="false" customHeight="false" outlineLevel="0" collapsed="false">
      <c r="A124" s="2" t="s">
        <v>2252</v>
      </c>
      <c r="B124" s="2" t="s">
        <v>1513</v>
      </c>
      <c r="C124" s="3" t="n">
        <v>46011</v>
      </c>
      <c r="D124" s="3" t="n">
        <v>46041</v>
      </c>
      <c r="E124" s="4" t="s">
        <v>2068</v>
      </c>
      <c r="F124" s="2" t="s">
        <v>474</v>
      </c>
      <c r="G124" s="2" t="s">
        <v>475</v>
      </c>
      <c r="H124" s="4" t="s">
        <v>58</v>
      </c>
      <c r="I124" s="2" t="s">
        <v>2198</v>
      </c>
      <c r="J124" s="2" t="s">
        <v>2124</v>
      </c>
      <c r="K124" s="4" t="n">
        <v>1</v>
      </c>
      <c r="L124" s="5" t="n">
        <v>130000</v>
      </c>
      <c r="M124" s="6" t="n">
        <f aca="false">K124*L124</f>
        <v>130000</v>
      </c>
      <c r="N124" s="5" t="n">
        <v>0</v>
      </c>
      <c r="O124" s="6" t="n">
        <f aca="false">M124-N124</f>
        <v>130000</v>
      </c>
      <c r="P124" s="7" t="n">
        <v>0.18</v>
      </c>
      <c r="Q124" s="6" t="n">
        <v>0</v>
      </c>
      <c r="R124" s="6" t="n">
        <v>0</v>
      </c>
      <c r="S124" s="6" t="n">
        <f aca="false">ROUND(O124*P124,0)</f>
        <v>23400</v>
      </c>
      <c r="T124" s="6" t="n">
        <f aca="false">O124+Q124+R124+S124</f>
        <v>153400</v>
      </c>
      <c r="U124" s="5" t="n">
        <v>153400</v>
      </c>
      <c r="V124" s="6" t="n">
        <f aca="false">T124-U124</f>
        <v>0</v>
      </c>
      <c r="W124" s="4" t="s">
        <v>1960</v>
      </c>
      <c r="X124" s="3" t="n">
        <v>46040</v>
      </c>
      <c r="Y124" s="4" t="s">
        <v>685</v>
      </c>
      <c r="Z124" s="2" t="s">
        <v>1510</v>
      </c>
      <c r="AA124" s="2"/>
    </row>
    <row r="125" customFormat="false" ht="15" hidden="false" customHeight="false" outlineLevel="0" collapsed="false">
      <c r="A125" s="2" t="s">
        <v>2253</v>
      </c>
      <c r="B125" s="2" t="s">
        <v>2254</v>
      </c>
      <c r="C125" s="3" t="n">
        <v>46012</v>
      </c>
      <c r="D125" s="3" t="n">
        <v>46042</v>
      </c>
      <c r="E125" s="4" t="s">
        <v>2068</v>
      </c>
      <c r="F125" s="2" t="s">
        <v>947</v>
      </c>
      <c r="G125" s="2" t="s">
        <v>948</v>
      </c>
      <c r="H125" s="4" t="s">
        <v>58</v>
      </c>
      <c r="I125" s="2" t="s">
        <v>2255</v>
      </c>
      <c r="J125" s="2" t="s">
        <v>2100</v>
      </c>
      <c r="K125" s="4" t="n">
        <v>1</v>
      </c>
      <c r="L125" s="5" t="n">
        <v>130000</v>
      </c>
      <c r="M125" s="6" t="n">
        <f aca="false">K125*L125</f>
        <v>130000</v>
      </c>
      <c r="N125" s="5" t="n">
        <v>0</v>
      </c>
      <c r="O125" s="6" t="n">
        <f aca="false">M125-N125</f>
        <v>130000</v>
      </c>
      <c r="P125" s="7" t="n">
        <v>0.18</v>
      </c>
      <c r="Q125" s="6" t="n">
        <v>0</v>
      </c>
      <c r="R125" s="6" t="n">
        <v>0</v>
      </c>
      <c r="S125" s="6" t="n">
        <f aca="false">ROUND(O125*P125,0)</f>
        <v>23400</v>
      </c>
      <c r="T125" s="6" t="n">
        <f aca="false">O125+Q125+R125+S125</f>
        <v>153400</v>
      </c>
      <c r="U125" s="5" t="n">
        <v>0</v>
      </c>
      <c r="V125" s="6" t="n">
        <f aca="false">T125-U125</f>
        <v>153400</v>
      </c>
      <c r="W125" s="4" t="s">
        <v>2044</v>
      </c>
      <c r="X125" s="3"/>
      <c r="Y125" s="4"/>
      <c r="Z125" s="2"/>
      <c r="AA125" s="2" t="s">
        <v>2186</v>
      </c>
    </row>
    <row r="126" customFormat="false" ht="15" hidden="false" customHeight="false" outlineLevel="0" collapsed="false">
      <c r="A126" s="2" t="s">
        <v>2256</v>
      </c>
      <c r="B126" s="2" t="s">
        <v>1443</v>
      </c>
      <c r="C126" s="3" t="n">
        <v>46014</v>
      </c>
      <c r="D126" s="3" t="n">
        <v>46044</v>
      </c>
      <c r="E126" s="4" t="s">
        <v>2068</v>
      </c>
      <c r="F126" s="2" t="s">
        <v>764</v>
      </c>
      <c r="G126" s="2" t="s">
        <v>765</v>
      </c>
      <c r="H126" s="4" t="s">
        <v>58</v>
      </c>
      <c r="I126" s="2" t="s">
        <v>2257</v>
      </c>
      <c r="J126" s="2" t="s">
        <v>2148</v>
      </c>
      <c r="K126" s="4" t="n">
        <v>1</v>
      </c>
      <c r="L126" s="5" t="n">
        <v>250000</v>
      </c>
      <c r="M126" s="6" t="n">
        <f aca="false">K126*L126</f>
        <v>250000</v>
      </c>
      <c r="N126" s="5" t="n">
        <v>0</v>
      </c>
      <c r="O126" s="6" t="n">
        <f aca="false">M126-N126</f>
        <v>250000</v>
      </c>
      <c r="P126" s="7" t="n">
        <v>0.18</v>
      </c>
      <c r="Q126" s="6" t="n">
        <v>0</v>
      </c>
      <c r="R126" s="6" t="n">
        <v>0</v>
      </c>
      <c r="S126" s="6" t="n">
        <f aca="false">ROUND(O126*P126,0)</f>
        <v>45000</v>
      </c>
      <c r="T126" s="6" t="n">
        <f aca="false">O126+Q126+R126+S126</f>
        <v>295000</v>
      </c>
      <c r="U126" s="5" t="n">
        <v>295000</v>
      </c>
      <c r="V126" s="6" t="n">
        <f aca="false">T126-U126</f>
        <v>0</v>
      </c>
      <c r="W126" s="4" t="s">
        <v>1960</v>
      </c>
      <c r="X126" s="3" t="n">
        <v>46039</v>
      </c>
      <c r="Y126" s="4" t="s">
        <v>1970</v>
      </c>
      <c r="Z126" s="2" t="s">
        <v>2258</v>
      </c>
      <c r="AA126" s="2" t="s">
        <v>1972</v>
      </c>
    </row>
    <row r="127" customFormat="false" ht="15" hidden="false" customHeight="false" outlineLevel="0" collapsed="false">
      <c r="A127" s="2" t="s">
        <v>2259</v>
      </c>
      <c r="B127" s="2" t="s">
        <v>1521</v>
      </c>
      <c r="C127" s="3" t="n">
        <v>46014</v>
      </c>
      <c r="D127" s="3" t="n">
        <v>46044</v>
      </c>
      <c r="E127" s="4" t="s">
        <v>2068</v>
      </c>
      <c r="F127" s="2" t="s">
        <v>201</v>
      </c>
      <c r="G127" s="2" t="s">
        <v>202</v>
      </c>
      <c r="H127" s="4" t="s">
        <v>58</v>
      </c>
      <c r="I127" s="2" t="s">
        <v>2260</v>
      </c>
      <c r="J127" s="2" t="s">
        <v>2075</v>
      </c>
      <c r="K127" s="4" t="n">
        <v>1</v>
      </c>
      <c r="L127" s="5" t="n">
        <v>100000</v>
      </c>
      <c r="M127" s="6" t="n">
        <f aca="false">K127*L127</f>
        <v>100000</v>
      </c>
      <c r="N127" s="5" t="n">
        <v>0</v>
      </c>
      <c r="O127" s="6" t="n">
        <f aca="false">M127-N127</f>
        <v>100000</v>
      </c>
      <c r="P127" s="7" t="n">
        <v>0.12</v>
      </c>
      <c r="Q127" s="6" t="n">
        <f aca="false">ROUND(O127*P127/2,0)</f>
        <v>6000</v>
      </c>
      <c r="R127" s="6" t="n">
        <f aca="false">ROUND(O127*P127/2,0)</f>
        <v>6000</v>
      </c>
      <c r="S127" s="6" t="n">
        <v>0</v>
      </c>
      <c r="T127" s="6" t="n">
        <f aca="false">O127+Q127+R127+S127</f>
        <v>112000</v>
      </c>
      <c r="U127" s="5" t="n">
        <v>112000</v>
      </c>
      <c r="V127" s="6" t="n">
        <f aca="false">T127-U127</f>
        <v>0</v>
      </c>
      <c r="W127" s="4" t="s">
        <v>1960</v>
      </c>
      <c r="X127" s="3" t="n">
        <v>46043</v>
      </c>
      <c r="Y127" s="4" t="s">
        <v>53</v>
      </c>
      <c r="Z127" s="2" t="s">
        <v>1517</v>
      </c>
      <c r="AA127" s="2"/>
    </row>
    <row r="128" customFormat="false" ht="15" hidden="false" customHeight="false" outlineLevel="0" collapsed="false">
      <c r="A128" s="2" t="s">
        <v>2261</v>
      </c>
      <c r="B128" s="2" t="s">
        <v>2262</v>
      </c>
      <c r="C128" s="3" t="n">
        <v>46014</v>
      </c>
      <c r="D128" s="3" t="n">
        <v>46073</v>
      </c>
      <c r="E128" s="4" t="s">
        <v>2068</v>
      </c>
      <c r="F128" s="2" t="s">
        <v>1918</v>
      </c>
      <c r="G128" s="2" t="s">
        <v>1919</v>
      </c>
      <c r="H128" s="4" t="s">
        <v>58</v>
      </c>
      <c r="I128" s="2" t="s">
        <v>2263</v>
      </c>
      <c r="J128" s="2" t="s">
        <v>2097</v>
      </c>
      <c r="K128" s="4" t="n">
        <v>1</v>
      </c>
      <c r="L128" s="5" t="n">
        <v>70000</v>
      </c>
      <c r="M128" s="6" t="n">
        <f aca="false">K128*L128</f>
        <v>70000</v>
      </c>
      <c r="N128" s="5" t="n">
        <v>0</v>
      </c>
      <c r="O128" s="6" t="n">
        <f aca="false">M128-N128</f>
        <v>70000</v>
      </c>
      <c r="P128" s="7" t="n">
        <v>0.18</v>
      </c>
      <c r="Q128" s="6" t="n">
        <f aca="false">ROUND(O128*P128/2,0)</f>
        <v>6300</v>
      </c>
      <c r="R128" s="6" t="n">
        <f aca="false">ROUND(O128*P128/2,0)</f>
        <v>6300</v>
      </c>
      <c r="S128" s="6" t="n">
        <v>0</v>
      </c>
      <c r="T128" s="6" t="n">
        <f aca="false">O128+Q128+R128+S128</f>
        <v>82600</v>
      </c>
      <c r="U128" s="5" t="n">
        <v>0</v>
      </c>
      <c r="V128" s="6" t="n">
        <f aca="false">T128-U128</f>
        <v>82600</v>
      </c>
      <c r="W128" s="4" t="s">
        <v>2023</v>
      </c>
      <c r="X128" s="3"/>
      <c r="Y128" s="4"/>
      <c r="Z128" s="2"/>
      <c r="AA128" s="2"/>
    </row>
    <row r="129" customFormat="false" ht="15" hidden="false" customHeight="false" outlineLevel="0" collapsed="false">
      <c r="A129" s="2" t="s">
        <v>2264</v>
      </c>
      <c r="B129" s="2" t="s">
        <v>2265</v>
      </c>
      <c r="C129" s="3" t="n">
        <v>46016</v>
      </c>
      <c r="D129" s="3" t="n">
        <v>46059</v>
      </c>
      <c r="E129" s="4" t="s">
        <v>2068</v>
      </c>
      <c r="F129" s="2" t="s">
        <v>519</v>
      </c>
      <c r="G129" s="2" t="s">
        <v>520</v>
      </c>
      <c r="H129" s="4" t="s">
        <v>58</v>
      </c>
      <c r="I129" s="2" t="s">
        <v>2266</v>
      </c>
      <c r="J129" s="2" t="s">
        <v>2148</v>
      </c>
      <c r="K129" s="4" t="n">
        <v>1</v>
      </c>
      <c r="L129" s="5" t="n">
        <v>200000</v>
      </c>
      <c r="M129" s="6" t="n">
        <f aca="false">K129*L129</f>
        <v>200000</v>
      </c>
      <c r="N129" s="5" t="n">
        <v>10000</v>
      </c>
      <c r="O129" s="6" t="n">
        <f aca="false">M129-N129</f>
        <v>190000</v>
      </c>
      <c r="P129" s="7" t="n">
        <v>0.18</v>
      </c>
      <c r="Q129" s="6" t="n">
        <f aca="false">ROUND(O129*P129/2,0)</f>
        <v>17100</v>
      </c>
      <c r="R129" s="6" t="n">
        <f aca="false">ROUND(O129*P129/2,0)</f>
        <v>17100</v>
      </c>
      <c r="S129" s="6" t="n">
        <v>0</v>
      </c>
      <c r="T129" s="6" t="n">
        <f aca="false">O129+Q129+R129+S129</f>
        <v>224200</v>
      </c>
      <c r="U129" s="5" t="n">
        <v>0</v>
      </c>
      <c r="V129" s="6" t="n">
        <f aca="false">T129-U129</f>
        <v>224200</v>
      </c>
      <c r="W129" s="4" t="s">
        <v>2023</v>
      </c>
      <c r="X129" s="3"/>
      <c r="Y129" s="4"/>
      <c r="Z129" s="2"/>
      <c r="AA129" s="2"/>
    </row>
    <row r="130" customFormat="false" ht="15" hidden="false" customHeight="false" outlineLevel="0" collapsed="false">
      <c r="A130" s="2" t="s">
        <v>2267</v>
      </c>
      <c r="B130" s="2" t="s">
        <v>2268</v>
      </c>
      <c r="C130" s="3" t="n">
        <v>46016</v>
      </c>
      <c r="D130" s="3" t="n">
        <v>46110</v>
      </c>
      <c r="E130" s="4" t="s">
        <v>2068</v>
      </c>
      <c r="F130" s="2" t="s">
        <v>2269</v>
      </c>
      <c r="G130" s="2" t="s">
        <v>2270</v>
      </c>
      <c r="H130" s="4" t="s">
        <v>58</v>
      </c>
      <c r="I130" s="2" t="s">
        <v>2271</v>
      </c>
      <c r="J130" s="2" t="s">
        <v>2111</v>
      </c>
      <c r="K130" s="4" t="n">
        <v>1</v>
      </c>
      <c r="L130" s="5" t="n">
        <v>100000</v>
      </c>
      <c r="M130" s="6" t="n">
        <f aca="false">K130*L130</f>
        <v>100000</v>
      </c>
      <c r="N130" s="5" t="n">
        <v>0</v>
      </c>
      <c r="O130" s="6" t="n">
        <f aca="false">M130-N130</f>
        <v>100000</v>
      </c>
      <c r="P130" s="7" t="n">
        <v>0.18</v>
      </c>
      <c r="Q130" s="6" t="n">
        <f aca="false">ROUND(O130*P130/2,0)</f>
        <v>9000</v>
      </c>
      <c r="R130" s="6" t="n">
        <f aca="false">ROUND(O130*P130/2,0)</f>
        <v>9000</v>
      </c>
      <c r="S130" s="6" t="n">
        <v>0</v>
      </c>
      <c r="T130" s="6" t="n">
        <f aca="false">O130+Q130+R130+S130</f>
        <v>118000</v>
      </c>
      <c r="U130" s="5" t="n">
        <v>0</v>
      </c>
      <c r="V130" s="6" t="n">
        <f aca="false">T130-U130</f>
        <v>118000</v>
      </c>
      <c r="W130" s="4" t="s">
        <v>1990</v>
      </c>
      <c r="X130" s="3"/>
      <c r="Y130" s="4"/>
      <c r="Z130" s="2"/>
      <c r="AA130" s="2"/>
    </row>
    <row r="131" customFormat="false" ht="15" hidden="false" customHeight="false" outlineLevel="0" collapsed="false">
      <c r="A131" s="2" t="s">
        <v>2272</v>
      </c>
      <c r="B131" s="2" t="s">
        <v>1672</v>
      </c>
      <c r="C131" s="3" t="n">
        <v>46017</v>
      </c>
      <c r="D131" s="3" t="n">
        <v>46047</v>
      </c>
      <c r="E131" s="4" t="s">
        <v>2068</v>
      </c>
      <c r="F131" s="2" t="s">
        <v>533</v>
      </c>
      <c r="G131" s="2" t="s">
        <v>534</v>
      </c>
      <c r="H131" s="4" t="s">
        <v>58</v>
      </c>
      <c r="I131" s="2" t="s">
        <v>2273</v>
      </c>
      <c r="J131" s="2" t="s">
        <v>2075</v>
      </c>
      <c r="K131" s="4" t="n">
        <v>1</v>
      </c>
      <c r="L131" s="5" t="n">
        <v>160000</v>
      </c>
      <c r="M131" s="6" t="n">
        <f aca="false">K131*L131</f>
        <v>160000</v>
      </c>
      <c r="N131" s="5" t="n">
        <v>12800</v>
      </c>
      <c r="O131" s="6" t="n">
        <f aca="false">M131-N131</f>
        <v>147200</v>
      </c>
      <c r="P131" s="7" t="n">
        <v>0.12</v>
      </c>
      <c r="Q131" s="6" t="n">
        <f aca="false">ROUND(O131*P131/2,0)</f>
        <v>8832</v>
      </c>
      <c r="R131" s="6" t="n">
        <f aca="false">ROUND(O131*P131/2,0)</f>
        <v>8832</v>
      </c>
      <c r="S131" s="6" t="n">
        <v>0</v>
      </c>
      <c r="T131" s="6" t="n">
        <f aca="false">O131+Q131+R131+S131</f>
        <v>164864</v>
      </c>
      <c r="U131" s="5" t="n">
        <v>164864</v>
      </c>
      <c r="V131" s="6" t="n">
        <f aca="false">T131-U131</f>
        <v>0</v>
      </c>
      <c r="W131" s="4" t="s">
        <v>1960</v>
      </c>
      <c r="X131" s="3" t="n">
        <v>46072</v>
      </c>
      <c r="Y131" s="4" t="s">
        <v>348</v>
      </c>
      <c r="Z131" s="2" t="s">
        <v>1668</v>
      </c>
      <c r="AA131" s="2"/>
    </row>
    <row r="132" customFormat="false" ht="15" hidden="false" customHeight="false" outlineLevel="0" collapsed="false">
      <c r="A132" s="2" t="s">
        <v>2274</v>
      </c>
      <c r="B132" s="2" t="s">
        <v>1454</v>
      </c>
      <c r="C132" s="3" t="n">
        <v>46019</v>
      </c>
      <c r="D132" s="3" t="n">
        <v>46049</v>
      </c>
      <c r="E132" s="4" t="s">
        <v>2068</v>
      </c>
      <c r="F132" s="2" t="s">
        <v>77</v>
      </c>
      <c r="G132" s="2" t="s">
        <v>78</v>
      </c>
      <c r="H132" s="4" t="s">
        <v>58</v>
      </c>
      <c r="I132" s="2" t="s">
        <v>2139</v>
      </c>
      <c r="J132" s="2" t="s">
        <v>2100</v>
      </c>
      <c r="K132" s="4" t="n">
        <v>1</v>
      </c>
      <c r="L132" s="5" t="n">
        <v>130000</v>
      </c>
      <c r="M132" s="6" t="n">
        <f aca="false">K132*L132</f>
        <v>130000</v>
      </c>
      <c r="N132" s="5" t="n">
        <v>0</v>
      </c>
      <c r="O132" s="6" t="n">
        <f aca="false">M132-N132</f>
        <v>130000</v>
      </c>
      <c r="P132" s="7" t="n">
        <v>0.05</v>
      </c>
      <c r="Q132" s="6" t="n">
        <v>0</v>
      </c>
      <c r="R132" s="6" t="n">
        <v>0</v>
      </c>
      <c r="S132" s="6" t="n">
        <f aca="false">ROUND(O132*P132,0)</f>
        <v>6500</v>
      </c>
      <c r="T132" s="6" t="n">
        <f aca="false">O132+Q132+R132+S132</f>
        <v>136500</v>
      </c>
      <c r="U132" s="5" t="n">
        <v>62500</v>
      </c>
      <c r="V132" s="6" t="n">
        <f aca="false">T132-U132</f>
        <v>74000</v>
      </c>
      <c r="W132" s="4" t="s">
        <v>1957</v>
      </c>
      <c r="X132" s="3" t="n">
        <v>46027</v>
      </c>
      <c r="Y132" s="4" t="s">
        <v>53</v>
      </c>
      <c r="Z132" s="2" t="s">
        <v>1450</v>
      </c>
      <c r="AA132" s="2"/>
    </row>
    <row r="133" customFormat="false" ht="15" hidden="false" customHeight="false" outlineLevel="0" collapsed="false">
      <c r="A133" s="2" t="s">
        <v>2275</v>
      </c>
      <c r="B133" s="2" t="s">
        <v>2276</v>
      </c>
      <c r="C133" s="3" t="n">
        <v>46020</v>
      </c>
      <c r="D133" s="3" t="n">
        <v>46050</v>
      </c>
      <c r="E133" s="4" t="s">
        <v>2068</v>
      </c>
      <c r="F133" s="2" t="s">
        <v>960</v>
      </c>
      <c r="G133" s="2" t="s">
        <v>961</v>
      </c>
      <c r="H133" s="4" t="s">
        <v>58</v>
      </c>
      <c r="I133" s="2" t="s">
        <v>2277</v>
      </c>
      <c r="J133" s="2" t="s">
        <v>2080</v>
      </c>
      <c r="K133" s="4" t="n">
        <v>1</v>
      </c>
      <c r="L133" s="5" t="n">
        <v>700000</v>
      </c>
      <c r="M133" s="6" t="n">
        <f aca="false">K133*L133</f>
        <v>700000</v>
      </c>
      <c r="N133" s="5" t="n">
        <v>35000</v>
      </c>
      <c r="O133" s="6" t="n">
        <f aca="false">M133-N133</f>
        <v>665000</v>
      </c>
      <c r="P133" s="7" t="n">
        <v>0.18</v>
      </c>
      <c r="Q133" s="6" t="n">
        <f aca="false">ROUND(O133*P133/2,0)</f>
        <v>59850</v>
      </c>
      <c r="R133" s="6" t="n">
        <f aca="false">ROUND(O133*P133/2,0)</f>
        <v>59850</v>
      </c>
      <c r="S133" s="6" t="n">
        <v>0</v>
      </c>
      <c r="T133" s="6" t="n">
        <f aca="false">O133+Q133+R133+S133</f>
        <v>784700</v>
      </c>
      <c r="U133" s="5" t="n">
        <v>784700</v>
      </c>
      <c r="V133" s="6" t="n">
        <f aca="false">T133-U133</f>
        <v>0</v>
      </c>
      <c r="W133" s="4" t="s">
        <v>1960</v>
      </c>
      <c r="X133" s="3" t="n">
        <v>46046</v>
      </c>
      <c r="Y133" s="4" t="s">
        <v>74</v>
      </c>
      <c r="Z133" s="2" t="s">
        <v>1541</v>
      </c>
      <c r="AA133" s="2" t="s">
        <v>2278</v>
      </c>
    </row>
    <row r="134" customFormat="false" ht="15" hidden="false" customHeight="false" outlineLevel="0" collapsed="false">
      <c r="A134" s="2" t="s">
        <v>2279</v>
      </c>
      <c r="B134" s="2" t="s">
        <v>2280</v>
      </c>
      <c r="C134" s="3" t="n">
        <v>46020</v>
      </c>
      <c r="D134" s="3" t="n">
        <v>46050</v>
      </c>
      <c r="E134" s="4" t="s">
        <v>2068</v>
      </c>
      <c r="F134" s="2" t="s">
        <v>693</v>
      </c>
      <c r="G134" s="2" t="s">
        <v>694</v>
      </c>
      <c r="H134" s="4" t="s">
        <v>58</v>
      </c>
      <c r="I134" s="2" t="s">
        <v>2281</v>
      </c>
      <c r="J134" s="2" t="s">
        <v>2089</v>
      </c>
      <c r="K134" s="4" t="n">
        <v>33</v>
      </c>
      <c r="L134" s="5" t="n">
        <v>2800</v>
      </c>
      <c r="M134" s="6" t="n">
        <f aca="false">K134*L134</f>
        <v>92400</v>
      </c>
      <c r="N134" s="5" t="n">
        <v>0</v>
      </c>
      <c r="O134" s="6" t="n">
        <f aca="false">M134-N134</f>
        <v>92400</v>
      </c>
      <c r="P134" s="7" t="n">
        <v>0.18</v>
      </c>
      <c r="Q134" s="6" t="n">
        <f aca="false">ROUND(O134*P134/2,0)</f>
        <v>8316</v>
      </c>
      <c r="R134" s="6" t="n">
        <f aca="false">ROUND(O134*P134/2,0)</f>
        <v>8316</v>
      </c>
      <c r="S134" s="6" t="n">
        <v>0</v>
      </c>
      <c r="T134" s="6" t="n">
        <f aca="false">O134+Q134+R134+S134</f>
        <v>109032</v>
      </c>
      <c r="U134" s="5" t="n">
        <v>109032</v>
      </c>
      <c r="V134" s="6" t="n">
        <f aca="false">T134-U134</f>
        <v>0</v>
      </c>
      <c r="W134" s="4" t="s">
        <v>1960</v>
      </c>
      <c r="X134" s="3" t="n">
        <v>46046</v>
      </c>
      <c r="Y134" s="4" t="s">
        <v>74</v>
      </c>
      <c r="Z134" s="2" t="s">
        <v>1541</v>
      </c>
      <c r="AA134" s="2" t="s">
        <v>2278</v>
      </c>
    </row>
    <row r="135" customFormat="false" ht="15" hidden="false" customHeight="false" outlineLevel="0" collapsed="false">
      <c r="A135" s="2" t="s">
        <v>2282</v>
      </c>
      <c r="B135" s="2" t="s">
        <v>1609</v>
      </c>
      <c r="C135" s="3" t="n">
        <v>46025</v>
      </c>
      <c r="D135" s="3" t="n">
        <v>46055</v>
      </c>
      <c r="E135" s="4" t="s">
        <v>2068</v>
      </c>
      <c r="F135" s="2" t="s">
        <v>693</v>
      </c>
      <c r="G135" s="2" t="s">
        <v>694</v>
      </c>
      <c r="H135" s="4" t="s">
        <v>58</v>
      </c>
      <c r="I135" s="2" t="s">
        <v>2283</v>
      </c>
      <c r="J135" s="2" t="s">
        <v>2172</v>
      </c>
      <c r="K135" s="4" t="n">
        <v>1</v>
      </c>
      <c r="L135" s="5" t="n">
        <v>700000</v>
      </c>
      <c r="M135" s="6" t="n">
        <f aca="false">K135*L135</f>
        <v>700000</v>
      </c>
      <c r="N135" s="5" t="n">
        <v>0</v>
      </c>
      <c r="O135" s="6" t="n">
        <f aca="false">M135-N135</f>
        <v>700000</v>
      </c>
      <c r="P135" s="7" t="n">
        <v>0.12</v>
      </c>
      <c r="Q135" s="6" t="n">
        <f aca="false">ROUND(O135*P135/2,0)</f>
        <v>42000</v>
      </c>
      <c r="R135" s="6" t="n">
        <f aca="false">ROUND(O135*P135/2,0)</f>
        <v>42000</v>
      </c>
      <c r="S135" s="6" t="n">
        <v>0</v>
      </c>
      <c r="T135" s="6" t="n">
        <f aca="false">O135+Q135+R135+S135</f>
        <v>784000</v>
      </c>
      <c r="U135" s="5" t="n">
        <v>784000</v>
      </c>
      <c r="V135" s="6" t="n">
        <f aca="false">T135-U135</f>
        <v>0</v>
      </c>
      <c r="W135" s="4" t="s">
        <v>1960</v>
      </c>
      <c r="X135" s="3" t="n">
        <v>46061</v>
      </c>
      <c r="Y135" s="4" t="s">
        <v>180</v>
      </c>
      <c r="Z135" s="2" t="s">
        <v>1605</v>
      </c>
      <c r="AA135" s="2"/>
    </row>
    <row r="136" customFormat="false" ht="15" hidden="false" customHeight="false" outlineLevel="0" collapsed="false">
      <c r="A136" s="2" t="s">
        <v>2284</v>
      </c>
      <c r="B136" s="2" t="s">
        <v>2285</v>
      </c>
      <c r="C136" s="3" t="n">
        <v>46026</v>
      </c>
      <c r="D136" s="3" t="n">
        <v>46108</v>
      </c>
      <c r="E136" s="4" t="s">
        <v>2068</v>
      </c>
      <c r="F136" s="2" t="s">
        <v>192</v>
      </c>
      <c r="G136" s="2" t="s">
        <v>193</v>
      </c>
      <c r="H136" s="4" t="s">
        <v>58</v>
      </c>
      <c r="I136" s="2" t="s">
        <v>2286</v>
      </c>
      <c r="J136" s="2" t="s">
        <v>2089</v>
      </c>
      <c r="K136" s="4" t="n">
        <v>16</v>
      </c>
      <c r="L136" s="5" t="n">
        <v>2800</v>
      </c>
      <c r="M136" s="6" t="n">
        <f aca="false">K136*L136</f>
        <v>44800</v>
      </c>
      <c r="N136" s="5" t="n">
        <v>2240</v>
      </c>
      <c r="O136" s="6" t="n">
        <f aca="false">M136-N136</f>
        <v>42560</v>
      </c>
      <c r="P136" s="7" t="n">
        <v>0.18</v>
      </c>
      <c r="Q136" s="6" t="n">
        <f aca="false">ROUND(O136*P136/2,0)</f>
        <v>3830</v>
      </c>
      <c r="R136" s="6" t="n">
        <f aca="false">ROUND(O136*P136/2,0)</f>
        <v>3830</v>
      </c>
      <c r="S136" s="6" t="n">
        <v>0</v>
      </c>
      <c r="T136" s="6" t="n">
        <f aca="false">O136+Q136+R136+S136</f>
        <v>50220</v>
      </c>
      <c r="U136" s="5" t="n">
        <v>0</v>
      </c>
      <c r="V136" s="6" t="n">
        <f aca="false">T136-U136</f>
        <v>50220</v>
      </c>
      <c r="W136" s="4" t="s">
        <v>1990</v>
      </c>
      <c r="X136" s="3"/>
      <c r="Y136" s="4"/>
      <c r="Z136" s="2"/>
      <c r="AA136" s="2"/>
    </row>
    <row r="137" customFormat="false" ht="15" hidden="false" customHeight="false" outlineLevel="0" collapsed="false">
      <c r="A137" s="2" t="s">
        <v>2287</v>
      </c>
      <c r="B137" s="2" t="s">
        <v>1589</v>
      </c>
      <c r="C137" s="3" t="n">
        <v>46029</v>
      </c>
      <c r="D137" s="3" t="n">
        <v>46074</v>
      </c>
      <c r="E137" s="4" t="s">
        <v>2068</v>
      </c>
      <c r="F137" s="2" t="s">
        <v>447</v>
      </c>
      <c r="G137" s="2" t="s">
        <v>448</v>
      </c>
      <c r="H137" s="4" t="s">
        <v>58</v>
      </c>
      <c r="I137" s="2" t="s">
        <v>2288</v>
      </c>
      <c r="J137" s="2" t="s">
        <v>2148</v>
      </c>
      <c r="K137" s="4" t="n">
        <v>1</v>
      </c>
      <c r="L137" s="5" t="n">
        <v>250000</v>
      </c>
      <c r="M137" s="6" t="n">
        <f aca="false">K137*L137</f>
        <v>250000</v>
      </c>
      <c r="N137" s="5" t="n">
        <v>0</v>
      </c>
      <c r="O137" s="6" t="n">
        <f aca="false">M137-N137</f>
        <v>250000</v>
      </c>
      <c r="P137" s="7" t="n">
        <v>0.18</v>
      </c>
      <c r="Q137" s="6" t="n">
        <f aca="false">ROUND(O137*P137/2,0)</f>
        <v>22500</v>
      </c>
      <c r="R137" s="6" t="n">
        <f aca="false">ROUND(O137*P137/2,0)</f>
        <v>22500</v>
      </c>
      <c r="S137" s="6" t="n">
        <v>0</v>
      </c>
      <c r="T137" s="6" t="n">
        <f aca="false">O137+Q137+R137+S137</f>
        <v>295000</v>
      </c>
      <c r="U137" s="5" t="n">
        <v>295000</v>
      </c>
      <c r="V137" s="6" t="n">
        <f aca="false">T137-U137</f>
        <v>0</v>
      </c>
      <c r="W137" s="4" t="s">
        <v>1960</v>
      </c>
      <c r="X137" s="3" t="n">
        <v>46054</v>
      </c>
      <c r="Y137" s="4" t="s">
        <v>99</v>
      </c>
      <c r="Z137" s="2" t="s">
        <v>1586</v>
      </c>
      <c r="AA137" s="2"/>
    </row>
    <row r="138" customFormat="false" ht="15" hidden="false" customHeight="false" outlineLevel="0" collapsed="false">
      <c r="A138" s="2" t="s">
        <v>2289</v>
      </c>
      <c r="B138" s="2" t="s">
        <v>1526</v>
      </c>
      <c r="C138" s="3" t="n">
        <v>46030</v>
      </c>
      <c r="D138" s="3" t="n">
        <v>46060</v>
      </c>
      <c r="E138" s="4" t="s">
        <v>2068</v>
      </c>
      <c r="F138" s="2" t="s">
        <v>465</v>
      </c>
      <c r="G138" s="2" t="s">
        <v>466</v>
      </c>
      <c r="H138" s="4" t="s">
        <v>58</v>
      </c>
      <c r="I138" s="2" t="s">
        <v>2290</v>
      </c>
      <c r="J138" s="2" t="s">
        <v>2085</v>
      </c>
      <c r="K138" s="4" t="n">
        <v>1</v>
      </c>
      <c r="L138" s="5" t="n">
        <v>160000</v>
      </c>
      <c r="M138" s="6" t="n">
        <f aca="false">K138*L138</f>
        <v>160000</v>
      </c>
      <c r="N138" s="5" t="n">
        <v>0</v>
      </c>
      <c r="O138" s="6" t="n">
        <f aca="false">M138-N138</f>
        <v>160000</v>
      </c>
      <c r="P138" s="7" t="n">
        <v>0.28</v>
      </c>
      <c r="Q138" s="6" t="n">
        <v>0</v>
      </c>
      <c r="R138" s="6" t="n">
        <v>0</v>
      </c>
      <c r="S138" s="6" t="n">
        <f aca="false">ROUND(O138*P138,0)</f>
        <v>44800</v>
      </c>
      <c r="T138" s="6" t="n">
        <f aca="false">O138+Q138+R138+S138</f>
        <v>204800</v>
      </c>
      <c r="U138" s="5" t="n">
        <v>204800</v>
      </c>
      <c r="V138" s="6" t="n">
        <f aca="false">T138-U138</f>
        <v>0</v>
      </c>
      <c r="W138" s="4" t="s">
        <v>1960</v>
      </c>
      <c r="X138" s="3" t="n">
        <v>46043</v>
      </c>
      <c r="Y138" s="4" t="s">
        <v>53</v>
      </c>
      <c r="Z138" s="2" t="s">
        <v>1522</v>
      </c>
      <c r="AA138" s="2"/>
    </row>
    <row r="139" customFormat="false" ht="15" hidden="false" customHeight="false" outlineLevel="0" collapsed="false">
      <c r="A139" s="2" t="s">
        <v>2291</v>
      </c>
      <c r="B139" s="2" t="s">
        <v>2292</v>
      </c>
      <c r="C139" s="3" t="n">
        <v>46033</v>
      </c>
      <c r="D139" s="3" t="n">
        <v>46063</v>
      </c>
      <c r="E139" s="4" t="s">
        <v>2068</v>
      </c>
      <c r="F139" s="2" t="s">
        <v>474</v>
      </c>
      <c r="G139" s="2" t="s">
        <v>475</v>
      </c>
      <c r="H139" s="4" t="s">
        <v>58</v>
      </c>
      <c r="I139" s="2" t="s">
        <v>2293</v>
      </c>
      <c r="J139" s="2" t="s">
        <v>2070</v>
      </c>
      <c r="K139" s="4" t="n">
        <v>1</v>
      </c>
      <c r="L139" s="5" t="n">
        <v>100000</v>
      </c>
      <c r="M139" s="6" t="n">
        <f aca="false">K139*L139</f>
        <v>100000</v>
      </c>
      <c r="N139" s="5" t="n">
        <v>5000</v>
      </c>
      <c r="O139" s="6" t="n">
        <f aca="false">M139-N139</f>
        <v>95000</v>
      </c>
      <c r="P139" s="7" t="n">
        <v>0.18</v>
      </c>
      <c r="Q139" s="6" t="n">
        <v>0</v>
      </c>
      <c r="R139" s="6" t="n">
        <v>0</v>
      </c>
      <c r="S139" s="6" t="n">
        <f aca="false">ROUND(O139*P139,0)</f>
        <v>17100</v>
      </c>
      <c r="T139" s="6" t="n">
        <f aca="false">O139+Q139+R139+S139</f>
        <v>112100</v>
      </c>
      <c r="U139" s="5" t="n">
        <v>112100</v>
      </c>
      <c r="V139" s="6" t="n">
        <f aca="false">T139-U139</f>
        <v>0</v>
      </c>
      <c r="W139" s="4" t="s">
        <v>1960</v>
      </c>
      <c r="X139" s="3" t="n">
        <v>46066</v>
      </c>
      <c r="Y139" s="4" t="s">
        <v>74</v>
      </c>
      <c r="Z139" s="2" t="s">
        <v>1643</v>
      </c>
      <c r="AA139" s="2" t="s">
        <v>2294</v>
      </c>
    </row>
    <row r="140" customFormat="false" ht="15" hidden="false" customHeight="false" outlineLevel="0" collapsed="false">
      <c r="A140" s="2" t="s">
        <v>2295</v>
      </c>
      <c r="B140" s="2" t="s">
        <v>2296</v>
      </c>
      <c r="C140" s="3" t="n">
        <v>46033</v>
      </c>
      <c r="D140" s="3" t="n">
        <v>46048</v>
      </c>
      <c r="E140" s="4" t="s">
        <v>2068</v>
      </c>
      <c r="F140" s="2" t="s">
        <v>764</v>
      </c>
      <c r="G140" s="2" t="s">
        <v>765</v>
      </c>
      <c r="H140" s="4" t="s">
        <v>58</v>
      </c>
      <c r="I140" s="2" t="s">
        <v>2088</v>
      </c>
      <c r="J140" s="2" t="s">
        <v>2089</v>
      </c>
      <c r="K140" s="4" t="n">
        <v>16</v>
      </c>
      <c r="L140" s="5" t="n">
        <v>2800</v>
      </c>
      <c r="M140" s="6" t="n">
        <f aca="false">K140*L140</f>
        <v>44800</v>
      </c>
      <c r="N140" s="5" t="n">
        <v>0</v>
      </c>
      <c r="O140" s="6" t="n">
        <f aca="false">M140-N140</f>
        <v>44800</v>
      </c>
      <c r="P140" s="7" t="n">
        <v>0.05</v>
      </c>
      <c r="Q140" s="6" t="n">
        <v>0</v>
      </c>
      <c r="R140" s="6" t="n">
        <v>0</v>
      </c>
      <c r="S140" s="6" t="n">
        <f aca="false">ROUND(O140*P140,0)</f>
        <v>2240</v>
      </c>
      <c r="T140" s="6" t="n">
        <f aca="false">O140+Q140+R140+S140</f>
        <v>47040</v>
      </c>
      <c r="U140" s="5" t="n">
        <v>47040</v>
      </c>
      <c r="V140" s="6" t="n">
        <f aca="false">T140-U140</f>
        <v>0</v>
      </c>
      <c r="W140" s="4" t="s">
        <v>1960</v>
      </c>
      <c r="X140" s="3" t="n">
        <v>46066</v>
      </c>
      <c r="Y140" s="4" t="s">
        <v>74</v>
      </c>
      <c r="Z140" s="2" t="s">
        <v>1643</v>
      </c>
      <c r="AA140" s="2" t="s">
        <v>2294</v>
      </c>
    </row>
    <row r="141" customFormat="false" ht="15" hidden="false" customHeight="false" outlineLevel="0" collapsed="false">
      <c r="A141" s="2" t="s">
        <v>2297</v>
      </c>
      <c r="B141" s="2" t="s">
        <v>1613</v>
      </c>
      <c r="C141" s="3" t="n">
        <v>46034</v>
      </c>
      <c r="D141" s="3" t="n">
        <v>46079</v>
      </c>
      <c r="E141" s="4" t="s">
        <v>2068</v>
      </c>
      <c r="F141" s="2" t="s">
        <v>474</v>
      </c>
      <c r="G141" s="2" t="s">
        <v>475</v>
      </c>
      <c r="H141" s="4" t="s">
        <v>58</v>
      </c>
      <c r="I141" s="2" t="s">
        <v>2298</v>
      </c>
      <c r="J141" s="2" t="s">
        <v>2100</v>
      </c>
      <c r="K141" s="4" t="n">
        <v>1</v>
      </c>
      <c r="L141" s="5" t="n">
        <v>70000</v>
      </c>
      <c r="M141" s="6" t="n">
        <f aca="false">K141*L141</f>
        <v>70000</v>
      </c>
      <c r="N141" s="5" t="n">
        <v>0</v>
      </c>
      <c r="O141" s="6" t="n">
        <f aca="false">M141-N141</f>
        <v>70000</v>
      </c>
      <c r="P141" s="7" t="n">
        <v>0.12</v>
      </c>
      <c r="Q141" s="6" t="n">
        <v>0</v>
      </c>
      <c r="R141" s="6" t="n">
        <v>0</v>
      </c>
      <c r="S141" s="6" t="n">
        <f aca="false">ROUND(O141*P141,0)</f>
        <v>8400</v>
      </c>
      <c r="T141" s="6" t="n">
        <f aca="false">O141+Q141+R141+S141</f>
        <v>78400</v>
      </c>
      <c r="U141" s="5" t="n">
        <v>78400</v>
      </c>
      <c r="V141" s="6" t="n">
        <f aca="false">T141-U141</f>
        <v>0</v>
      </c>
      <c r="W141" s="4" t="s">
        <v>1960</v>
      </c>
      <c r="X141" s="3" t="n">
        <v>46077</v>
      </c>
      <c r="Y141" s="4" t="s">
        <v>1970</v>
      </c>
      <c r="Z141" s="2" t="s">
        <v>2299</v>
      </c>
      <c r="AA141" s="2" t="s">
        <v>1972</v>
      </c>
    </row>
    <row r="142" customFormat="false" ht="15" hidden="false" customHeight="false" outlineLevel="0" collapsed="false">
      <c r="A142" s="2" t="s">
        <v>2300</v>
      </c>
      <c r="B142" s="2" t="s">
        <v>2301</v>
      </c>
      <c r="C142" s="3" t="n">
        <v>46035</v>
      </c>
      <c r="D142" s="3" t="n">
        <v>46065</v>
      </c>
      <c r="E142" s="4" t="s">
        <v>2068</v>
      </c>
      <c r="F142" s="2" t="s">
        <v>756</v>
      </c>
      <c r="G142" s="2" t="s">
        <v>757</v>
      </c>
      <c r="H142" s="4" t="s">
        <v>58</v>
      </c>
      <c r="I142" s="2" t="s">
        <v>2302</v>
      </c>
      <c r="J142" s="2" t="s">
        <v>2148</v>
      </c>
      <c r="K142" s="4" t="n">
        <v>1</v>
      </c>
      <c r="L142" s="5" t="n">
        <v>100000</v>
      </c>
      <c r="M142" s="6" t="n">
        <f aca="false">K142*L142</f>
        <v>100000</v>
      </c>
      <c r="N142" s="5" t="n">
        <v>5000</v>
      </c>
      <c r="O142" s="6" t="n">
        <f aca="false">M142-N142</f>
        <v>95000</v>
      </c>
      <c r="P142" s="7" t="n">
        <v>0.12</v>
      </c>
      <c r="Q142" s="6" t="n">
        <v>0</v>
      </c>
      <c r="R142" s="6" t="n">
        <v>0</v>
      </c>
      <c r="S142" s="6" t="n">
        <f aca="false">ROUND(O142*P142,0)</f>
        <v>11400</v>
      </c>
      <c r="T142" s="6" t="n">
        <f aca="false">O142+Q142+R142+S142</f>
        <v>106400</v>
      </c>
      <c r="U142" s="5" t="n">
        <v>106400</v>
      </c>
      <c r="V142" s="6" t="n">
        <f aca="false">T142-U142</f>
        <v>0</v>
      </c>
      <c r="W142" s="4" t="s">
        <v>1960</v>
      </c>
      <c r="X142" s="3" t="n">
        <v>46066</v>
      </c>
      <c r="Y142" s="4" t="s">
        <v>74</v>
      </c>
      <c r="Z142" s="2" t="s">
        <v>1643</v>
      </c>
      <c r="AA142" s="2" t="s">
        <v>2294</v>
      </c>
    </row>
    <row r="143" customFormat="false" ht="15" hidden="false" customHeight="false" outlineLevel="0" collapsed="false">
      <c r="A143" s="2" t="s">
        <v>2303</v>
      </c>
      <c r="B143" s="2" t="s">
        <v>1593</v>
      </c>
      <c r="C143" s="3" t="n">
        <v>46041</v>
      </c>
      <c r="D143" s="3" t="n">
        <v>46056</v>
      </c>
      <c r="E143" s="4" t="s">
        <v>2068</v>
      </c>
      <c r="F143" s="2" t="s">
        <v>192</v>
      </c>
      <c r="G143" s="2" t="s">
        <v>193</v>
      </c>
      <c r="H143" s="4" t="s">
        <v>58</v>
      </c>
      <c r="I143" s="2" t="s">
        <v>2286</v>
      </c>
      <c r="J143" s="2" t="s">
        <v>2089</v>
      </c>
      <c r="K143" s="4" t="n">
        <v>44</v>
      </c>
      <c r="L143" s="5" t="n">
        <v>2800</v>
      </c>
      <c r="M143" s="6" t="n">
        <f aca="false">K143*L143</f>
        <v>123200</v>
      </c>
      <c r="N143" s="5" t="n">
        <v>0</v>
      </c>
      <c r="O143" s="6" t="n">
        <f aca="false">M143-N143</f>
        <v>123200</v>
      </c>
      <c r="P143" s="7" t="n">
        <v>0.12</v>
      </c>
      <c r="Q143" s="6" t="n">
        <f aca="false">ROUND(O143*P143/2,0)</f>
        <v>7392</v>
      </c>
      <c r="R143" s="6" t="n">
        <f aca="false">ROUND(O143*P143/2,0)</f>
        <v>7392</v>
      </c>
      <c r="S143" s="6" t="n">
        <v>0</v>
      </c>
      <c r="T143" s="6" t="n">
        <f aca="false">O143+Q143+R143+S143</f>
        <v>137984</v>
      </c>
      <c r="U143" s="5" t="n">
        <v>137984</v>
      </c>
      <c r="V143" s="6" t="n">
        <f aca="false">T143-U143</f>
        <v>0</v>
      </c>
      <c r="W143" s="4" t="s">
        <v>1960</v>
      </c>
      <c r="X143" s="3" t="n">
        <v>46055</v>
      </c>
      <c r="Y143" s="4" t="s">
        <v>99</v>
      </c>
      <c r="Z143" s="2" t="s">
        <v>1590</v>
      </c>
      <c r="AA143" s="2"/>
    </row>
    <row r="144" customFormat="false" ht="15" hidden="false" customHeight="false" outlineLevel="0" collapsed="false">
      <c r="A144" s="2" t="s">
        <v>2304</v>
      </c>
      <c r="B144" s="2" t="s">
        <v>2305</v>
      </c>
      <c r="C144" s="3" t="n">
        <v>46046</v>
      </c>
      <c r="D144" s="3" t="n">
        <v>46110</v>
      </c>
      <c r="E144" s="4" t="s">
        <v>2068</v>
      </c>
      <c r="F144" s="2" t="s">
        <v>465</v>
      </c>
      <c r="G144" s="2" t="s">
        <v>466</v>
      </c>
      <c r="H144" s="4" t="s">
        <v>58</v>
      </c>
      <c r="I144" s="2" t="s">
        <v>2290</v>
      </c>
      <c r="J144" s="2" t="s">
        <v>2085</v>
      </c>
      <c r="K144" s="4" t="n">
        <v>1</v>
      </c>
      <c r="L144" s="5" t="n">
        <v>100000</v>
      </c>
      <c r="M144" s="6" t="n">
        <f aca="false">K144*L144</f>
        <v>100000</v>
      </c>
      <c r="N144" s="5" t="n">
        <v>0</v>
      </c>
      <c r="O144" s="6" t="n">
        <f aca="false">M144-N144</f>
        <v>100000</v>
      </c>
      <c r="P144" s="7" t="n">
        <v>0.18</v>
      </c>
      <c r="Q144" s="6" t="n">
        <v>0</v>
      </c>
      <c r="R144" s="6" t="n">
        <v>0</v>
      </c>
      <c r="S144" s="6" t="n">
        <f aca="false">ROUND(O144*P144,0)</f>
        <v>18000</v>
      </c>
      <c r="T144" s="6" t="n">
        <f aca="false">O144+Q144+R144+S144</f>
        <v>118000</v>
      </c>
      <c r="U144" s="5" t="n">
        <v>0</v>
      </c>
      <c r="V144" s="6" t="n">
        <f aca="false">T144-U144</f>
        <v>118000</v>
      </c>
      <c r="W144" s="4" t="s">
        <v>1990</v>
      </c>
      <c r="X144" s="3"/>
      <c r="Y144" s="4"/>
      <c r="Z144" s="2"/>
      <c r="AA144" s="2"/>
    </row>
    <row r="145" customFormat="false" ht="15" hidden="false" customHeight="false" outlineLevel="0" collapsed="false">
      <c r="A145" s="2" t="s">
        <v>2306</v>
      </c>
      <c r="B145" s="2" t="s">
        <v>1625</v>
      </c>
      <c r="C145" s="3" t="n">
        <v>46050</v>
      </c>
      <c r="D145" s="3" t="n">
        <v>46065</v>
      </c>
      <c r="E145" s="4" t="s">
        <v>2068</v>
      </c>
      <c r="F145" s="2" t="s">
        <v>1038</v>
      </c>
      <c r="G145" s="2" t="s">
        <v>1039</v>
      </c>
      <c r="H145" s="4" t="s">
        <v>58</v>
      </c>
      <c r="I145" s="2" t="s">
        <v>2307</v>
      </c>
      <c r="J145" s="2" t="s">
        <v>2172</v>
      </c>
      <c r="K145" s="4" t="n">
        <v>1</v>
      </c>
      <c r="L145" s="5" t="n">
        <v>700000</v>
      </c>
      <c r="M145" s="6" t="n">
        <f aca="false">K145*L145</f>
        <v>700000</v>
      </c>
      <c r="N145" s="5" t="n">
        <v>35000</v>
      </c>
      <c r="O145" s="6" t="n">
        <f aca="false">M145-N145</f>
        <v>665000</v>
      </c>
      <c r="P145" s="7" t="n">
        <v>0.12</v>
      </c>
      <c r="Q145" s="6" t="n">
        <v>0</v>
      </c>
      <c r="R145" s="6" t="n">
        <v>0</v>
      </c>
      <c r="S145" s="6" t="n">
        <f aca="false">ROUND(O145*P145,0)</f>
        <v>79800</v>
      </c>
      <c r="T145" s="6" t="n">
        <f aca="false">O145+Q145+R145+S145</f>
        <v>744800</v>
      </c>
      <c r="U145" s="5" t="n">
        <v>744800</v>
      </c>
      <c r="V145" s="6" t="n">
        <f aca="false">T145-U145</f>
        <v>0</v>
      </c>
      <c r="W145" s="4" t="s">
        <v>1960</v>
      </c>
      <c r="X145" s="3" t="n">
        <v>46062</v>
      </c>
      <c r="Y145" s="4" t="s">
        <v>99</v>
      </c>
      <c r="Z145" s="2" t="s">
        <v>1621</v>
      </c>
      <c r="AA145" s="2"/>
    </row>
    <row r="146" customFormat="false" ht="15" hidden="false" customHeight="false" outlineLevel="0" collapsed="false">
      <c r="A146" s="2" t="s">
        <v>2308</v>
      </c>
      <c r="B146" s="2" t="s">
        <v>1575</v>
      </c>
      <c r="C146" s="3" t="n">
        <v>46050</v>
      </c>
      <c r="D146" s="3" t="n">
        <v>46065</v>
      </c>
      <c r="E146" s="4" t="s">
        <v>2068</v>
      </c>
      <c r="F146" s="2" t="s">
        <v>1136</v>
      </c>
      <c r="G146" s="2" t="s">
        <v>1137</v>
      </c>
      <c r="H146" s="4" t="s">
        <v>58</v>
      </c>
      <c r="I146" s="2" t="s">
        <v>2309</v>
      </c>
      <c r="J146" s="2" t="s">
        <v>2111</v>
      </c>
      <c r="K146" s="4" t="n">
        <v>1</v>
      </c>
      <c r="L146" s="5" t="n">
        <v>700000</v>
      </c>
      <c r="M146" s="6" t="n">
        <f aca="false">K146*L146</f>
        <v>700000</v>
      </c>
      <c r="N146" s="5" t="n">
        <v>0</v>
      </c>
      <c r="O146" s="6" t="n">
        <f aca="false">M146-N146</f>
        <v>700000</v>
      </c>
      <c r="P146" s="7" t="n">
        <v>0.18</v>
      </c>
      <c r="Q146" s="6" t="n">
        <v>0</v>
      </c>
      <c r="R146" s="6" t="n">
        <v>0</v>
      </c>
      <c r="S146" s="6" t="n">
        <f aca="false">ROUND(O146*P146,0)</f>
        <v>126000</v>
      </c>
      <c r="T146" s="6" t="n">
        <f aca="false">O146+Q146+R146+S146</f>
        <v>826000</v>
      </c>
      <c r="U146" s="5" t="n">
        <v>826000</v>
      </c>
      <c r="V146" s="6" t="n">
        <f aca="false">T146-U146</f>
        <v>0</v>
      </c>
      <c r="W146" s="4" t="s">
        <v>1960</v>
      </c>
      <c r="X146" s="3" t="n">
        <v>46051</v>
      </c>
      <c r="Y146" s="4" t="s">
        <v>74</v>
      </c>
      <c r="Z146" s="2" t="s">
        <v>1572</v>
      </c>
      <c r="AA146" s="2"/>
    </row>
    <row r="147" customFormat="false" ht="15" hidden="false" customHeight="false" outlineLevel="0" collapsed="false">
      <c r="A147" s="2" t="s">
        <v>2310</v>
      </c>
      <c r="B147" s="2" t="s">
        <v>1642</v>
      </c>
      <c r="C147" s="3" t="n">
        <v>46051</v>
      </c>
      <c r="D147" s="3" t="n">
        <v>46066</v>
      </c>
      <c r="E147" s="4" t="s">
        <v>2068</v>
      </c>
      <c r="F147" s="2" t="s">
        <v>402</v>
      </c>
      <c r="G147" s="2" t="s">
        <v>403</v>
      </c>
      <c r="H147" s="4" t="s">
        <v>58</v>
      </c>
      <c r="I147" s="2" t="s">
        <v>2311</v>
      </c>
      <c r="J147" s="2" t="s">
        <v>2148</v>
      </c>
      <c r="K147" s="4" t="n">
        <v>1</v>
      </c>
      <c r="L147" s="5" t="n">
        <v>250000</v>
      </c>
      <c r="M147" s="6" t="n">
        <f aca="false">K147*L147</f>
        <v>250000</v>
      </c>
      <c r="N147" s="5" t="n">
        <v>7500</v>
      </c>
      <c r="O147" s="6" t="n">
        <f aca="false">M147-N147</f>
        <v>242500</v>
      </c>
      <c r="P147" s="7" t="n">
        <v>0.12</v>
      </c>
      <c r="Q147" s="6" t="n">
        <f aca="false">ROUND(O147*P147/2,0)</f>
        <v>14550</v>
      </c>
      <c r="R147" s="6" t="n">
        <f aca="false">ROUND(O147*P147/2,0)</f>
        <v>14550</v>
      </c>
      <c r="S147" s="6" t="n">
        <v>0</v>
      </c>
      <c r="T147" s="6" t="n">
        <f aca="false">O147+Q147+R147+S147</f>
        <v>271600</v>
      </c>
      <c r="U147" s="5" t="n">
        <v>271600</v>
      </c>
      <c r="V147" s="6" t="n">
        <f aca="false">T147-U147</f>
        <v>0</v>
      </c>
      <c r="W147" s="4" t="s">
        <v>1960</v>
      </c>
      <c r="X147" s="3" t="n">
        <v>46066</v>
      </c>
      <c r="Y147" s="4" t="s">
        <v>74</v>
      </c>
      <c r="Z147" s="2" t="s">
        <v>1639</v>
      </c>
      <c r="AA147" s="2"/>
    </row>
    <row r="148" customFormat="false" ht="15" hidden="false" customHeight="false" outlineLevel="0" collapsed="false">
      <c r="A148" s="2" t="s">
        <v>2312</v>
      </c>
      <c r="B148" s="2" t="s">
        <v>1661</v>
      </c>
      <c r="C148" s="3" t="n">
        <v>46052</v>
      </c>
      <c r="D148" s="3" t="n">
        <v>46082</v>
      </c>
      <c r="E148" s="4" t="s">
        <v>2068</v>
      </c>
      <c r="F148" s="2" t="s">
        <v>363</v>
      </c>
      <c r="G148" s="2" t="s">
        <v>364</v>
      </c>
      <c r="H148" s="4" t="s">
        <v>58</v>
      </c>
      <c r="I148" s="2" t="s">
        <v>2313</v>
      </c>
      <c r="J148" s="2" t="s">
        <v>2148</v>
      </c>
      <c r="K148" s="4" t="n">
        <v>1</v>
      </c>
      <c r="L148" s="5" t="n">
        <v>700000</v>
      </c>
      <c r="M148" s="6" t="n">
        <f aca="false">K148*L148</f>
        <v>700000</v>
      </c>
      <c r="N148" s="5" t="n">
        <v>0</v>
      </c>
      <c r="O148" s="6" t="n">
        <f aca="false">M148-N148</f>
        <v>700000</v>
      </c>
      <c r="P148" s="7" t="n">
        <v>0.18</v>
      </c>
      <c r="Q148" s="6" t="n">
        <v>0</v>
      </c>
      <c r="R148" s="6" t="n">
        <v>0</v>
      </c>
      <c r="S148" s="6" t="n">
        <f aca="false">ROUND(O148*P148,0)</f>
        <v>126000</v>
      </c>
      <c r="T148" s="6" t="n">
        <f aca="false">O148+Q148+R148+S148</f>
        <v>826000</v>
      </c>
      <c r="U148" s="5" t="n">
        <v>826000</v>
      </c>
      <c r="V148" s="6" t="n">
        <f aca="false">T148-U148</f>
        <v>0</v>
      </c>
      <c r="W148" s="4" t="s">
        <v>1960</v>
      </c>
      <c r="X148" s="3" t="n">
        <v>46077</v>
      </c>
      <c r="Y148" s="4" t="s">
        <v>1970</v>
      </c>
      <c r="Z148" s="2" t="s">
        <v>2314</v>
      </c>
      <c r="AA148" s="2" t="s">
        <v>1972</v>
      </c>
    </row>
    <row r="149" customFormat="false" ht="15" hidden="false" customHeight="false" outlineLevel="0" collapsed="false">
      <c r="A149" s="2" t="s">
        <v>2315</v>
      </c>
      <c r="B149" s="2" t="s">
        <v>1629</v>
      </c>
      <c r="C149" s="3" t="n">
        <v>46053</v>
      </c>
      <c r="D149" s="3" t="n">
        <v>46068</v>
      </c>
      <c r="E149" s="4" t="s">
        <v>2068</v>
      </c>
      <c r="F149" s="2" t="s">
        <v>693</v>
      </c>
      <c r="G149" s="2" t="s">
        <v>694</v>
      </c>
      <c r="H149" s="4" t="s">
        <v>58</v>
      </c>
      <c r="I149" s="2" t="s">
        <v>2316</v>
      </c>
      <c r="J149" s="2" t="s">
        <v>2111</v>
      </c>
      <c r="K149" s="4" t="n">
        <v>1</v>
      </c>
      <c r="L149" s="5" t="n">
        <v>70000</v>
      </c>
      <c r="M149" s="6" t="n">
        <f aca="false">K149*L149</f>
        <v>70000</v>
      </c>
      <c r="N149" s="5" t="n">
        <v>2100</v>
      </c>
      <c r="O149" s="6" t="n">
        <f aca="false">M149-N149</f>
        <v>67900</v>
      </c>
      <c r="P149" s="7" t="n">
        <v>0.18</v>
      </c>
      <c r="Q149" s="6" t="n">
        <f aca="false">ROUND(O149*P149/2,0)</f>
        <v>6111</v>
      </c>
      <c r="R149" s="6" t="n">
        <f aca="false">ROUND(O149*P149/2,0)</f>
        <v>6111</v>
      </c>
      <c r="S149" s="6" t="n">
        <v>0</v>
      </c>
      <c r="T149" s="6" t="n">
        <f aca="false">O149+Q149+R149+S149</f>
        <v>80122</v>
      </c>
      <c r="U149" s="5" t="n">
        <v>80122</v>
      </c>
      <c r="V149" s="6" t="n">
        <f aca="false">T149-U149</f>
        <v>0</v>
      </c>
      <c r="W149" s="4" t="s">
        <v>1960</v>
      </c>
      <c r="X149" s="3" t="n">
        <v>46085</v>
      </c>
      <c r="Y149" s="4" t="s">
        <v>99</v>
      </c>
      <c r="Z149" s="2" t="s">
        <v>2317</v>
      </c>
      <c r="AA149" s="2" t="s">
        <v>1972</v>
      </c>
    </row>
    <row r="150" customFormat="false" ht="15" hidden="false" customHeight="false" outlineLevel="0" collapsed="false">
      <c r="A150" s="2" t="s">
        <v>2318</v>
      </c>
      <c r="B150" s="2" t="s">
        <v>1654</v>
      </c>
      <c r="C150" s="3" t="n">
        <v>46055</v>
      </c>
      <c r="D150" s="3" t="n">
        <v>46070</v>
      </c>
      <c r="E150" s="4" t="s">
        <v>2068</v>
      </c>
      <c r="F150" s="2" t="s">
        <v>56</v>
      </c>
      <c r="G150" s="2" t="s">
        <v>57</v>
      </c>
      <c r="H150" s="4" t="s">
        <v>58</v>
      </c>
      <c r="I150" s="2" t="s">
        <v>2319</v>
      </c>
      <c r="J150" s="2" t="s">
        <v>2117</v>
      </c>
      <c r="K150" s="4" t="n">
        <v>59</v>
      </c>
      <c r="L150" s="5" t="n">
        <v>2200</v>
      </c>
      <c r="M150" s="6" t="n">
        <f aca="false">K150*L150</f>
        <v>129800</v>
      </c>
      <c r="N150" s="5" t="n">
        <v>0</v>
      </c>
      <c r="O150" s="6" t="n">
        <f aca="false">M150-N150</f>
        <v>129800</v>
      </c>
      <c r="P150" s="7" t="n">
        <v>0.12</v>
      </c>
      <c r="Q150" s="6" t="n">
        <v>0</v>
      </c>
      <c r="R150" s="6" t="n">
        <v>0</v>
      </c>
      <c r="S150" s="6" t="n">
        <f aca="false">ROUND(O150*P150,0)</f>
        <v>15576</v>
      </c>
      <c r="T150" s="6" t="n">
        <f aca="false">O150+Q150+R150+S150</f>
        <v>145376</v>
      </c>
      <c r="U150" s="5" t="n">
        <v>145376</v>
      </c>
      <c r="V150" s="6" t="n">
        <f aca="false">T150-U150</f>
        <v>0</v>
      </c>
      <c r="W150" s="4" t="s">
        <v>1960</v>
      </c>
      <c r="X150" s="3" t="n">
        <v>46067</v>
      </c>
      <c r="Y150" s="4" t="s">
        <v>180</v>
      </c>
      <c r="Z150" s="2" t="s">
        <v>1650</v>
      </c>
      <c r="AA150" s="2"/>
    </row>
    <row r="151" customFormat="false" ht="15" hidden="false" customHeight="false" outlineLevel="0" collapsed="false">
      <c r="A151" s="2" t="s">
        <v>2320</v>
      </c>
      <c r="B151" s="2" t="s">
        <v>1884</v>
      </c>
      <c r="C151" s="3" t="n">
        <v>46058</v>
      </c>
      <c r="D151" s="3" t="n">
        <v>46088</v>
      </c>
      <c r="E151" s="4" t="s">
        <v>2068</v>
      </c>
      <c r="F151" s="2" t="s">
        <v>1865</v>
      </c>
      <c r="G151" s="2" t="s">
        <v>1866</v>
      </c>
      <c r="H151" s="4" t="s">
        <v>58</v>
      </c>
      <c r="I151" s="2" t="s">
        <v>2321</v>
      </c>
      <c r="J151" s="2" t="s">
        <v>2172</v>
      </c>
      <c r="K151" s="4" t="n">
        <v>1</v>
      </c>
      <c r="L151" s="5" t="n">
        <v>250000</v>
      </c>
      <c r="M151" s="6" t="n">
        <f aca="false">K151*L151</f>
        <v>250000</v>
      </c>
      <c r="N151" s="5" t="n">
        <v>12500</v>
      </c>
      <c r="O151" s="6" t="n">
        <f aca="false">M151-N151</f>
        <v>237500</v>
      </c>
      <c r="P151" s="7" t="n">
        <v>0.12</v>
      </c>
      <c r="Q151" s="6" t="n">
        <f aca="false">ROUND(O151*P151/2,0)</f>
        <v>14250</v>
      </c>
      <c r="R151" s="6" t="n">
        <f aca="false">ROUND(O151*P151/2,0)</f>
        <v>14250</v>
      </c>
      <c r="S151" s="6" t="n">
        <v>0</v>
      </c>
      <c r="T151" s="6" t="n">
        <f aca="false">O151+Q151+R151+S151</f>
        <v>266000</v>
      </c>
      <c r="U151" s="5" t="n">
        <v>266000</v>
      </c>
      <c r="V151" s="6" t="n">
        <f aca="false">T151-U151</f>
        <v>0</v>
      </c>
      <c r="W151" s="4" t="s">
        <v>1960</v>
      </c>
      <c r="X151" s="3" t="n">
        <v>46105</v>
      </c>
      <c r="Y151" s="4" t="s">
        <v>685</v>
      </c>
      <c r="Z151" s="2" t="s">
        <v>1880</v>
      </c>
      <c r="AA151" s="2"/>
    </row>
    <row r="152" customFormat="false" ht="15" hidden="false" customHeight="false" outlineLevel="0" collapsed="false">
      <c r="A152" s="2" t="s">
        <v>2322</v>
      </c>
      <c r="B152" s="2" t="s">
        <v>1635</v>
      </c>
      <c r="C152" s="3" t="n">
        <v>46058</v>
      </c>
      <c r="D152" s="3" t="n">
        <v>46088</v>
      </c>
      <c r="E152" s="4" t="s">
        <v>2068</v>
      </c>
      <c r="F152" s="2" t="s">
        <v>454</v>
      </c>
      <c r="G152" s="2" t="s">
        <v>455</v>
      </c>
      <c r="H152" s="4" t="s">
        <v>58</v>
      </c>
      <c r="I152" s="2" t="s">
        <v>2323</v>
      </c>
      <c r="J152" s="2" t="s">
        <v>2100</v>
      </c>
      <c r="K152" s="4" t="n">
        <v>1</v>
      </c>
      <c r="L152" s="5" t="n">
        <v>320000</v>
      </c>
      <c r="M152" s="6" t="n">
        <f aca="false">K152*L152</f>
        <v>320000</v>
      </c>
      <c r="N152" s="5" t="n">
        <v>0</v>
      </c>
      <c r="O152" s="6" t="n">
        <f aca="false">M152-N152</f>
        <v>320000</v>
      </c>
      <c r="P152" s="7" t="n">
        <v>0.18</v>
      </c>
      <c r="Q152" s="6" t="n">
        <f aca="false">ROUND(O152*P152/2,0)</f>
        <v>28800</v>
      </c>
      <c r="R152" s="6" t="n">
        <f aca="false">ROUND(O152*P152/2,0)</f>
        <v>28800</v>
      </c>
      <c r="S152" s="6" t="n">
        <v>0</v>
      </c>
      <c r="T152" s="6" t="n">
        <f aca="false">O152+Q152+R152+S152</f>
        <v>377600</v>
      </c>
      <c r="U152" s="5" t="n">
        <v>377600</v>
      </c>
      <c r="V152" s="6" t="n">
        <f aca="false">T152-U152</f>
        <v>0</v>
      </c>
      <c r="W152" s="4" t="s">
        <v>1960</v>
      </c>
      <c r="X152" s="3" t="n">
        <v>46063</v>
      </c>
      <c r="Y152" s="4" t="s">
        <v>74</v>
      </c>
      <c r="Z152" s="2" t="s">
        <v>2324</v>
      </c>
      <c r="AA152" s="2" t="s">
        <v>2325</v>
      </c>
    </row>
    <row r="153" customFormat="false" ht="15" hidden="false" customHeight="false" outlineLevel="0" collapsed="false">
      <c r="A153" s="2" t="s">
        <v>2326</v>
      </c>
      <c r="B153" s="2" t="s">
        <v>1770</v>
      </c>
      <c r="C153" s="3" t="n">
        <v>46061</v>
      </c>
      <c r="D153" s="3" t="n">
        <v>46091</v>
      </c>
      <c r="E153" s="4" t="s">
        <v>2068</v>
      </c>
      <c r="F153" s="2" t="s">
        <v>465</v>
      </c>
      <c r="G153" s="2" t="s">
        <v>466</v>
      </c>
      <c r="H153" s="4" t="s">
        <v>58</v>
      </c>
      <c r="I153" s="2" t="s">
        <v>2327</v>
      </c>
      <c r="J153" s="2" t="s">
        <v>2104</v>
      </c>
      <c r="K153" s="4" t="n">
        <v>1</v>
      </c>
      <c r="L153" s="5" t="n">
        <v>400000</v>
      </c>
      <c r="M153" s="6" t="n">
        <f aca="false">K153*L153</f>
        <v>400000</v>
      </c>
      <c r="N153" s="5" t="n">
        <v>0</v>
      </c>
      <c r="O153" s="6" t="n">
        <f aca="false">M153-N153</f>
        <v>400000</v>
      </c>
      <c r="P153" s="7" t="n">
        <v>0.12</v>
      </c>
      <c r="Q153" s="6" t="n">
        <v>0</v>
      </c>
      <c r="R153" s="6" t="n">
        <v>0</v>
      </c>
      <c r="S153" s="6" t="n">
        <f aca="false">ROUND(O153*P153,0)</f>
        <v>48000</v>
      </c>
      <c r="T153" s="6" t="n">
        <f aca="false">O153+Q153+R153+S153</f>
        <v>448000</v>
      </c>
      <c r="U153" s="5" t="n">
        <v>448000</v>
      </c>
      <c r="V153" s="6" t="n">
        <f aca="false">T153-U153</f>
        <v>0</v>
      </c>
      <c r="W153" s="4" t="s">
        <v>1960</v>
      </c>
      <c r="X153" s="3" t="n">
        <v>46088</v>
      </c>
      <c r="Y153" s="4" t="s">
        <v>74</v>
      </c>
      <c r="Z153" s="2" t="s">
        <v>2328</v>
      </c>
      <c r="AA153" s="2" t="s">
        <v>2329</v>
      </c>
    </row>
    <row r="154" customFormat="false" ht="15" hidden="false" customHeight="false" outlineLevel="0" collapsed="false">
      <c r="A154" s="2" t="s">
        <v>2330</v>
      </c>
      <c r="B154" s="2" t="s">
        <v>1777</v>
      </c>
      <c r="C154" s="3" t="n">
        <v>46067</v>
      </c>
      <c r="D154" s="3" t="n">
        <v>46112</v>
      </c>
      <c r="E154" s="4" t="s">
        <v>2068</v>
      </c>
      <c r="F154" s="2" t="s">
        <v>1774</v>
      </c>
      <c r="G154" s="2" t="s">
        <v>1775</v>
      </c>
      <c r="H154" s="4" t="s">
        <v>58</v>
      </c>
      <c r="I154" s="2" t="s">
        <v>2331</v>
      </c>
      <c r="J154" s="2" t="s">
        <v>2085</v>
      </c>
      <c r="K154" s="4" t="n">
        <v>1</v>
      </c>
      <c r="L154" s="5" t="n">
        <v>160000</v>
      </c>
      <c r="M154" s="6" t="n">
        <f aca="false">K154*L154</f>
        <v>160000</v>
      </c>
      <c r="N154" s="5" t="n">
        <v>0</v>
      </c>
      <c r="O154" s="6" t="n">
        <f aca="false">M154-N154</f>
        <v>160000</v>
      </c>
      <c r="P154" s="7" t="n">
        <v>0.18</v>
      </c>
      <c r="Q154" s="6" t="n">
        <v>0</v>
      </c>
      <c r="R154" s="6" t="n">
        <v>0</v>
      </c>
      <c r="S154" s="6" t="n">
        <f aca="false">ROUND(O154*P154,0)</f>
        <v>28800</v>
      </c>
      <c r="T154" s="6" t="n">
        <f aca="false">O154+Q154+R154+S154</f>
        <v>188800</v>
      </c>
      <c r="U154" s="5" t="n">
        <v>188800</v>
      </c>
      <c r="V154" s="6" t="n">
        <f aca="false">T154-U154</f>
        <v>0</v>
      </c>
      <c r="W154" s="4" t="s">
        <v>1960</v>
      </c>
      <c r="X154" s="3" t="n">
        <v>46088</v>
      </c>
      <c r="Y154" s="4" t="s">
        <v>685</v>
      </c>
      <c r="Z154" s="2" t="s">
        <v>1771</v>
      </c>
      <c r="AA154" s="2"/>
    </row>
    <row r="155" customFormat="false" ht="15" hidden="false" customHeight="false" outlineLevel="0" collapsed="false">
      <c r="A155" s="2" t="s">
        <v>2332</v>
      </c>
      <c r="B155" s="2" t="s">
        <v>1691</v>
      </c>
      <c r="C155" s="3" t="n">
        <v>46073</v>
      </c>
      <c r="D155" s="3" t="n">
        <v>46103</v>
      </c>
      <c r="E155" s="4" t="s">
        <v>2068</v>
      </c>
      <c r="F155" s="2" t="s">
        <v>764</v>
      </c>
      <c r="G155" s="2" t="s">
        <v>765</v>
      </c>
      <c r="H155" s="4" t="s">
        <v>58</v>
      </c>
      <c r="I155" s="2" t="s">
        <v>2333</v>
      </c>
      <c r="J155" s="2" t="s">
        <v>2085</v>
      </c>
      <c r="K155" s="4" t="n">
        <v>1</v>
      </c>
      <c r="L155" s="5" t="n">
        <v>100000</v>
      </c>
      <c r="M155" s="6" t="n">
        <f aca="false">K155*L155</f>
        <v>100000</v>
      </c>
      <c r="N155" s="5" t="n">
        <v>0</v>
      </c>
      <c r="O155" s="6" t="n">
        <f aca="false">M155-N155</f>
        <v>100000</v>
      </c>
      <c r="P155" s="7" t="n">
        <v>0.18</v>
      </c>
      <c r="Q155" s="6" t="n">
        <v>0</v>
      </c>
      <c r="R155" s="6" t="n">
        <v>0</v>
      </c>
      <c r="S155" s="6" t="n">
        <f aca="false">ROUND(O155*P155,0)</f>
        <v>18000</v>
      </c>
      <c r="T155" s="6" t="n">
        <f aca="false">O155+Q155+R155+S155</f>
        <v>118000</v>
      </c>
      <c r="U155" s="5" t="n">
        <v>118000</v>
      </c>
      <c r="V155" s="6" t="n">
        <f aca="false">T155-U155</f>
        <v>0</v>
      </c>
      <c r="W155" s="4" t="s">
        <v>1960</v>
      </c>
      <c r="X155" s="3" t="n">
        <v>46108</v>
      </c>
      <c r="Y155" s="4" t="s">
        <v>1970</v>
      </c>
      <c r="Z155" s="2" t="s">
        <v>2334</v>
      </c>
      <c r="AA155" s="2" t="s">
        <v>2135</v>
      </c>
    </row>
    <row r="156" customFormat="false" ht="15" hidden="false" customHeight="false" outlineLevel="0" collapsed="false">
      <c r="A156" s="2" t="s">
        <v>2335</v>
      </c>
      <c r="B156" s="2" t="s">
        <v>2336</v>
      </c>
      <c r="C156" s="3" t="n">
        <v>46076</v>
      </c>
      <c r="D156" s="3" t="n">
        <v>46100</v>
      </c>
      <c r="E156" s="4" t="s">
        <v>2068</v>
      </c>
      <c r="F156" s="2" t="s">
        <v>465</v>
      </c>
      <c r="G156" s="2" t="s">
        <v>466</v>
      </c>
      <c r="H156" s="4" t="s">
        <v>58</v>
      </c>
      <c r="I156" s="2" t="s">
        <v>2337</v>
      </c>
      <c r="J156" s="2" t="s">
        <v>2080</v>
      </c>
      <c r="K156" s="4" t="n">
        <v>1</v>
      </c>
      <c r="L156" s="5" t="n">
        <v>250000</v>
      </c>
      <c r="M156" s="6" t="n">
        <f aca="false">K156*L156</f>
        <v>250000</v>
      </c>
      <c r="N156" s="5" t="n">
        <v>20000</v>
      </c>
      <c r="O156" s="6" t="n">
        <f aca="false">M156-N156</f>
        <v>230000</v>
      </c>
      <c r="P156" s="7" t="n">
        <v>0.12</v>
      </c>
      <c r="Q156" s="6" t="n">
        <v>0</v>
      </c>
      <c r="R156" s="6" t="n">
        <v>0</v>
      </c>
      <c r="S156" s="6" t="n">
        <f aca="false">ROUND(O156*P156,0)</f>
        <v>27600</v>
      </c>
      <c r="T156" s="6" t="n">
        <f aca="false">O156+Q156+R156+S156</f>
        <v>257600</v>
      </c>
      <c r="U156" s="5" t="n">
        <v>0</v>
      </c>
      <c r="V156" s="6" t="n">
        <f aca="false">T156-U156</f>
        <v>257600</v>
      </c>
      <c r="W156" s="4" t="s">
        <v>1990</v>
      </c>
      <c r="X156" s="3"/>
      <c r="Y156" s="4"/>
      <c r="Z156" s="2"/>
      <c r="AA156" s="2"/>
    </row>
    <row r="157" customFormat="false" ht="15" hidden="false" customHeight="false" outlineLevel="0" collapsed="false">
      <c r="A157" s="2" t="s">
        <v>2338</v>
      </c>
      <c r="B157" s="2" t="s">
        <v>1821</v>
      </c>
      <c r="C157" s="3" t="n">
        <v>46083</v>
      </c>
      <c r="D157" s="3" t="n">
        <v>46098</v>
      </c>
      <c r="E157" s="4" t="s">
        <v>2068</v>
      </c>
      <c r="F157" s="2" t="s">
        <v>533</v>
      </c>
      <c r="G157" s="2" t="s">
        <v>534</v>
      </c>
      <c r="H157" s="4" t="s">
        <v>58</v>
      </c>
      <c r="I157" s="2" t="s">
        <v>2273</v>
      </c>
      <c r="J157" s="2" t="s">
        <v>2075</v>
      </c>
      <c r="K157" s="4" t="n">
        <v>1</v>
      </c>
      <c r="L157" s="5" t="n">
        <v>400000</v>
      </c>
      <c r="M157" s="6" t="n">
        <f aca="false">K157*L157</f>
        <v>400000</v>
      </c>
      <c r="N157" s="5" t="n">
        <v>0</v>
      </c>
      <c r="O157" s="6" t="n">
        <f aca="false">M157-N157</f>
        <v>400000</v>
      </c>
      <c r="P157" s="7" t="n">
        <v>0.18</v>
      </c>
      <c r="Q157" s="6" t="n">
        <f aca="false">ROUND(O157*P157/2,0)</f>
        <v>36000</v>
      </c>
      <c r="R157" s="6" t="n">
        <f aca="false">ROUND(O157*P157/2,0)</f>
        <v>36000</v>
      </c>
      <c r="S157" s="6" t="n">
        <v>0</v>
      </c>
      <c r="T157" s="6" t="n">
        <f aca="false">O157+Q157+R157+S157</f>
        <v>472000</v>
      </c>
      <c r="U157" s="5" t="n">
        <v>255000</v>
      </c>
      <c r="V157" s="6" t="n">
        <f aca="false">T157-U157</f>
        <v>217000</v>
      </c>
      <c r="W157" s="4" t="s">
        <v>1957</v>
      </c>
      <c r="X157" s="3" t="n">
        <v>46096</v>
      </c>
      <c r="Y157" s="4" t="s">
        <v>74</v>
      </c>
      <c r="Z157" s="2" t="s">
        <v>1818</v>
      </c>
      <c r="AA157" s="2"/>
    </row>
    <row r="158" customFormat="false" ht="15" hidden="false" customHeight="false" outlineLevel="0" collapsed="false">
      <c r="A158" s="2" t="s">
        <v>2339</v>
      </c>
      <c r="B158" s="2" t="s">
        <v>1781</v>
      </c>
      <c r="C158" s="3" t="n">
        <v>46084</v>
      </c>
      <c r="D158" s="3" t="n">
        <v>46099</v>
      </c>
      <c r="E158" s="4" t="s">
        <v>2068</v>
      </c>
      <c r="F158" s="2" t="s">
        <v>509</v>
      </c>
      <c r="G158" s="2" t="s">
        <v>510</v>
      </c>
      <c r="H158" s="4" t="s">
        <v>58</v>
      </c>
      <c r="I158" s="2" t="s">
        <v>2340</v>
      </c>
      <c r="J158" s="2" t="s">
        <v>2070</v>
      </c>
      <c r="K158" s="4" t="n">
        <v>1</v>
      </c>
      <c r="L158" s="5" t="n">
        <v>200000</v>
      </c>
      <c r="M158" s="6" t="n">
        <f aca="false">K158*L158</f>
        <v>200000</v>
      </c>
      <c r="N158" s="5" t="n">
        <v>0</v>
      </c>
      <c r="O158" s="6" t="n">
        <f aca="false">M158-N158</f>
        <v>200000</v>
      </c>
      <c r="P158" s="7" t="n">
        <v>0.12</v>
      </c>
      <c r="Q158" s="6" t="n">
        <v>0</v>
      </c>
      <c r="R158" s="6" t="n">
        <v>0</v>
      </c>
      <c r="S158" s="6" t="n">
        <f aca="false">ROUND(O158*P158,0)</f>
        <v>24000</v>
      </c>
      <c r="T158" s="6" t="n">
        <f aca="false">O158+Q158+R158+S158</f>
        <v>224000</v>
      </c>
      <c r="U158" s="5" t="n">
        <v>99000</v>
      </c>
      <c r="V158" s="6" t="n">
        <f aca="false">T158-U158</f>
        <v>125000</v>
      </c>
      <c r="W158" s="4" t="s">
        <v>1957</v>
      </c>
      <c r="X158" s="3" t="n">
        <v>46088</v>
      </c>
      <c r="Y158" s="4" t="s">
        <v>99</v>
      </c>
      <c r="Z158" s="2" t="s">
        <v>1778</v>
      </c>
      <c r="AA158" s="2"/>
    </row>
    <row r="159" customFormat="false" ht="15" hidden="false" customHeight="false" outlineLevel="0" collapsed="false">
      <c r="A159" s="2" t="s">
        <v>2341</v>
      </c>
      <c r="B159" s="2" t="s">
        <v>1914</v>
      </c>
      <c r="C159" s="3" t="n">
        <v>46085</v>
      </c>
      <c r="D159" s="3" t="n">
        <v>46100</v>
      </c>
      <c r="E159" s="4" t="s">
        <v>2068</v>
      </c>
      <c r="F159" s="2" t="s">
        <v>1038</v>
      </c>
      <c r="G159" s="2" t="s">
        <v>1039</v>
      </c>
      <c r="H159" s="4" t="s">
        <v>58</v>
      </c>
      <c r="I159" s="2" t="s">
        <v>2342</v>
      </c>
      <c r="J159" s="2" t="s">
        <v>2097</v>
      </c>
      <c r="K159" s="4" t="n">
        <v>1</v>
      </c>
      <c r="L159" s="5" t="n">
        <v>700000</v>
      </c>
      <c r="M159" s="6" t="n">
        <f aca="false">K159*L159</f>
        <v>700000</v>
      </c>
      <c r="N159" s="5" t="n">
        <v>35000</v>
      </c>
      <c r="O159" s="6" t="n">
        <f aca="false">M159-N159</f>
        <v>665000</v>
      </c>
      <c r="P159" s="7" t="n">
        <v>0.12</v>
      </c>
      <c r="Q159" s="6" t="n">
        <v>0</v>
      </c>
      <c r="R159" s="6" t="n">
        <v>0</v>
      </c>
      <c r="S159" s="6" t="n">
        <f aca="false">ROUND(O159*P159,0)</f>
        <v>79800</v>
      </c>
      <c r="T159" s="6" t="n">
        <f aca="false">O159+Q159+R159+S159</f>
        <v>744800</v>
      </c>
      <c r="U159" s="5" t="n">
        <v>744800</v>
      </c>
      <c r="V159" s="6" t="n">
        <f aca="false">T159-U159</f>
        <v>0</v>
      </c>
      <c r="W159" s="4" t="s">
        <v>1960</v>
      </c>
      <c r="X159" s="3" t="n">
        <v>46112</v>
      </c>
      <c r="Y159" s="4" t="s">
        <v>53</v>
      </c>
      <c r="Z159" s="2" t="s">
        <v>1910</v>
      </c>
      <c r="AA159" s="2"/>
    </row>
    <row r="160" customFormat="false" ht="15" hidden="false" customHeight="false" outlineLevel="0" collapsed="false">
      <c r="A160" s="2" t="s">
        <v>2343</v>
      </c>
      <c r="B160" s="2" t="s">
        <v>1868</v>
      </c>
      <c r="C160" s="3" t="n">
        <v>46086</v>
      </c>
      <c r="D160" s="3" t="n">
        <v>46101</v>
      </c>
      <c r="E160" s="4" t="s">
        <v>2068</v>
      </c>
      <c r="F160" s="2" t="s">
        <v>1865</v>
      </c>
      <c r="G160" s="2" t="s">
        <v>1866</v>
      </c>
      <c r="H160" s="4" t="s">
        <v>58</v>
      </c>
      <c r="I160" s="2" t="s">
        <v>2084</v>
      </c>
      <c r="J160" s="2" t="s">
        <v>2085</v>
      </c>
      <c r="K160" s="4" t="n">
        <v>1</v>
      </c>
      <c r="L160" s="5" t="n">
        <v>550000</v>
      </c>
      <c r="M160" s="6" t="n">
        <f aca="false">K160*L160</f>
        <v>550000</v>
      </c>
      <c r="N160" s="5" t="n">
        <v>0</v>
      </c>
      <c r="O160" s="6" t="n">
        <f aca="false">M160-N160</f>
        <v>550000</v>
      </c>
      <c r="P160" s="7" t="n">
        <v>0.12</v>
      </c>
      <c r="Q160" s="6" t="n">
        <f aca="false">ROUND(O160*P160/2,0)</f>
        <v>33000</v>
      </c>
      <c r="R160" s="6" t="n">
        <f aca="false">ROUND(O160*P160/2,0)</f>
        <v>33000</v>
      </c>
      <c r="S160" s="6" t="n">
        <v>0</v>
      </c>
      <c r="T160" s="6" t="n">
        <f aca="false">O160+Q160+R160+S160</f>
        <v>616000</v>
      </c>
      <c r="U160" s="5" t="n">
        <v>616000</v>
      </c>
      <c r="V160" s="6" t="n">
        <f aca="false">T160-U160</f>
        <v>0</v>
      </c>
      <c r="W160" s="4" t="s">
        <v>1960</v>
      </c>
      <c r="X160" s="3" t="n">
        <v>46101</v>
      </c>
      <c r="Y160" s="4" t="s">
        <v>99</v>
      </c>
      <c r="Z160" s="2" t="s">
        <v>1862</v>
      </c>
      <c r="AA160" s="2"/>
    </row>
    <row r="161" customFormat="false" ht="15" hidden="false" customHeight="false" outlineLevel="0" collapsed="false">
      <c r="A161" s="2" t="s">
        <v>2344</v>
      </c>
      <c r="B161" s="2" t="s">
        <v>1839</v>
      </c>
      <c r="C161" s="3" t="n">
        <v>46087</v>
      </c>
      <c r="D161" s="3" t="n">
        <v>46102</v>
      </c>
      <c r="E161" s="4" t="s">
        <v>2068</v>
      </c>
      <c r="F161" s="2" t="s">
        <v>1836</v>
      </c>
      <c r="G161" s="2" t="s">
        <v>1837</v>
      </c>
      <c r="H161" s="4" t="s">
        <v>58</v>
      </c>
      <c r="I161" s="2" t="s">
        <v>2345</v>
      </c>
      <c r="J161" s="2" t="s">
        <v>2092</v>
      </c>
      <c r="K161" s="4" t="n">
        <v>1</v>
      </c>
      <c r="L161" s="5" t="n">
        <v>130000</v>
      </c>
      <c r="M161" s="6" t="n">
        <f aca="false">K161*L161</f>
        <v>130000</v>
      </c>
      <c r="N161" s="5" t="n">
        <v>6500</v>
      </c>
      <c r="O161" s="6" t="n">
        <f aca="false">M161-N161</f>
        <v>123500</v>
      </c>
      <c r="P161" s="7" t="n">
        <v>0.18</v>
      </c>
      <c r="Q161" s="6" t="n">
        <v>0</v>
      </c>
      <c r="R161" s="6" t="n">
        <v>0</v>
      </c>
      <c r="S161" s="6" t="n">
        <f aca="false">ROUND(O161*P161,0)</f>
        <v>22230</v>
      </c>
      <c r="T161" s="6" t="n">
        <f aca="false">O161+Q161+R161+S161</f>
        <v>145730</v>
      </c>
      <c r="U161" s="5" t="n">
        <v>43700</v>
      </c>
      <c r="V161" s="6" t="n">
        <f aca="false">T161-U161</f>
        <v>102030</v>
      </c>
      <c r="W161" s="4" t="s">
        <v>1957</v>
      </c>
      <c r="X161" s="3" t="n">
        <v>46097</v>
      </c>
      <c r="Y161" s="4" t="s">
        <v>53</v>
      </c>
      <c r="Z161" s="2" t="s">
        <v>1833</v>
      </c>
      <c r="AA161" s="2"/>
    </row>
    <row r="162" customFormat="false" ht="15" hidden="false" customHeight="false" outlineLevel="0" collapsed="false">
      <c r="A162" s="2" t="s">
        <v>2346</v>
      </c>
      <c r="B162" s="2" t="s">
        <v>1790</v>
      </c>
      <c r="C162" s="3" t="n">
        <v>46087</v>
      </c>
      <c r="D162" s="3" t="n">
        <v>46102</v>
      </c>
      <c r="E162" s="4" t="s">
        <v>2068</v>
      </c>
      <c r="F162" s="2" t="s">
        <v>1136</v>
      </c>
      <c r="G162" s="2" t="s">
        <v>1137</v>
      </c>
      <c r="H162" s="4" t="s">
        <v>58</v>
      </c>
      <c r="I162" s="2" t="s">
        <v>2347</v>
      </c>
      <c r="J162" s="2" t="s">
        <v>2172</v>
      </c>
      <c r="K162" s="4" t="n">
        <v>1</v>
      </c>
      <c r="L162" s="5" t="n">
        <v>100000</v>
      </c>
      <c r="M162" s="6" t="n">
        <f aca="false">K162*L162</f>
        <v>100000</v>
      </c>
      <c r="N162" s="5" t="n">
        <v>0</v>
      </c>
      <c r="O162" s="6" t="n">
        <f aca="false">M162-N162</f>
        <v>100000</v>
      </c>
      <c r="P162" s="7" t="n">
        <v>0.28</v>
      </c>
      <c r="Q162" s="6" t="n">
        <v>0</v>
      </c>
      <c r="R162" s="6" t="n">
        <v>0</v>
      </c>
      <c r="S162" s="6" t="n">
        <f aca="false">ROUND(O162*P162,0)</f>
        <v>28000</v>
      </c>
      <c r="T162" s="6" t="n">
        <f aca="false">O162+Q162+R162+S162</f>
        <v>128000</v>
      </c>
      <c r="U162" s="5" t="n">
        <v>128000</v>
      </c>
      <c r="V162" s="6" t="n">
        <f aca="false">T162-U162</f>
        <v>0</v>
      </c>
      <c r="W162" s="4" t="s">
        <v>1960</v>
      </c>
      <c r="X162" s="3" t="n">
        <v>46089</v>
      </c>
      <c r="Y162" s="4" t="s">
        <v>99</v>
      </c>
      <c r="Z162" s="2" t="s">
        <v>1787</v>
      </c>
      <c r="AA162" s="2"/>
    </row>
    <row r="163" customFormat="false" ht="15" hidden="false" customHeight="false" outlineLevel="0" collapsed="false">
      <c r="A163" s="2" t="s">
        <v>2348</v>
      </c>
      <c r="B163" s="2" t="s">
        <v>1844</v>
      </c>
      <c r="C163" s="3" t="n">
        <v>46088</v>
      </c>
      <c r="D163" s="3" t="n">
        <v>46103</v>
      </c>
      <c r="E163" s="4" t="s">
        <v>2068</v>
      </c>
      <c r="F163" s="2" t="s">
        <v>192</v>
      </c>
      <c r="G163" s="2" t="s">
        <v>193</v>
      </c>
      <c r="H163" s="4" t="s">
        <v>58</v>
      </c>
      <c r="I163" s="2" t="s">
        <v>2074</v>
      </c>
      <c r="J163" s="2" t="s">
        <v>2075</v>
      </c>
      <c r="K163" s="4" t="n">
        <v>1</v>
      </c>
      <c r="L163" s="5" t="n">
        <v>70000</v>
      </c>
      <c r="M163" s="6" t="n">
        <f aca="false">K163*L163</f>
        <v>70000</v>
      </c>
      <c r="N163" s="5" t="n">
        <v>0</v>
      </c>
      <c r="O163" s="6" t="n">
        <f aca="false">M163-N163</f>
        <v>70000</v>
      </c>
      <c r="P163" s="7" t="n">
        <v>0.18</v>
      </c>
      <c r="Q163" s="6" t="n">
        <f aca="false">ROUND(O163*P163/2,0)</f>
        <v>6300</v>
      </c>
      <c r="R163" s="6" t="n">
        <f aca="false">ROUND(O163*P163/2,0)</f>
        <v>6300</v>
      </c>
      <c r="S163" s="6" t="n">
        <v>0</v>
      </c>
      <c r="T163" s="6" t="n">
        <f aca="false">O163+Q163+R163+S163</f>
        <v>82600</v>
      </c>
      <c r="U163" s="5" t="n">
        <v>49300</v>
      </c>
      <c r="V163" s="6" t="n">
        <f aca="false">T163-U163</f>
        <v>33300</v>
      </c>
      <c r="W163" s="4" t="s">
        <v>1957</v>
      </c>
      <c r="X163" s="3" t="n">
        <v>46098</v>
      </c>
      <c r="Y163" s="4" t="s">
        <v>74</v>
      </c>
      <c r="Z163" s="2" t="s">
        <v>1840</v>
      </c>
      <c r="AA163" s="2"/>
    </row>
    <row r="164" customFormat="false" ht="15" hidden="false" customHeight="false" outlineLevel="0" collapsed="false">
      <c r="A164" s="2" t="s">
        <v>2349</v>
      </c>
      <c r="B164" s="2" t="s">
        <v>1826</v>
      </c>
      <c r="C164" s="3" t="n">
        <v>46089</v>
      </c>
      <c r="D164" s="3" t="n">
        <v>46104</v>
      </c>
      <c r="E164" s="4" t="s">
        <v>2068</v>
      </c>
      <c r="F164" s="2" t="s">
        <v>201</v>
      </c>
      <c r="G164" s="2" t="s">
        <v>202</v>
      </c>
      <c r="H164" s="4" t="s">
        <v>58</v>
      </c>
      <c r="I164" s="2" t="s">
        <v>2350</v>
      </c>
      <c r="J164" s="2" t="s">
        <v>2070</v>
      </c>
      <c r="K164" s="4" t="n">
        <v>1</v>
      </c>
      <c r="L164" s="5" t="n">
        <v>200000</v>
      </c>
      <c r="M164" s="6" t="n">
        <f aca="false">K164*L164</f>
        <v>200000</v>
      </c>
      <c r="N164" s="5" t="n">
        <v>0</v>
      </c>
      <c r="O164" s="6" t="n">
        <f aca="false">M164-N164</f>
        <v>200000</v>
      </c>
      <c r="P164" s="7" t="n">
        <v>0.18</v>
      </c>
      <c r="Q164" s="6" t="n">
        <f aca="false">ROUND(O164*P164/2,0)</f>
        <v>18000</v>
      </c>
      <c r="R164" s="6" t="n">
        <f aca="false">ROUND(O164*P164/2,0)</f>
        <v>18000</v>
      </c>
      <c r="S164" s="6" t="n">
        <v>0</v>
      </c>
      <c r="T164" s="6" t="n">
        <f aca="false">O164+Q164+R164+S164</f>
        <v>236000</v>
      </c>
      <c r="U164" s="5" t="n">
        <v>236000</v>
      </c>
      <c r="V164" s="6" t="n">
        <f aca="false">T164-U164</f>
        <v>0</v>
      </c>
      <c r="W164" s="4" t="s">
        <v>1960</v>
      </c>
      <c r="X164" s="3" t="n">
        <v>46096</v>
      </c>
      <c r="Y164" s="4" t="s">
        <v>99</v>
      </c>
      <c r="Z164" s="2" t="s">
        <v>1822</v>
      </c>
      <c r="AA164" s="2"/>
    </row>
    <row r="165" customFormat="false" ht="15" hidden="false" customHeight="false" outlineLevel="0" collapsed="false">
      <c r="A165" s="2" t="s">
        <v>2351</v>
      </c>
      <c r="B165" s="2" t="s">
        <v>1921</v>
      </c>
      <c r="C165" s="3" t="n">
        <v>46089</v>
      </c>
      <c r="D165" s="3" t="n">
        <v>46104</v>
      </c>
      <c r="E165" s="4" t="s">
        <v>2068</v>
      </c>
      <c r="F165" s="2" t="s">
        <v>1918</v>
      </c>
      <c r="G165" s="2" t="s">
        <v>1919</v>
      </c>
      <c r="H165" s="4" t="s">
        <v>58</v>
      </c>
      <c r="I165" s="2" t="s">
        <v>2352</v>
      </c>
      <c r="J165" s="2" t="s">
        <v>2070</v>
      </c>
      <c r="K165" s="4" t="n">
        <v>1</v>
      </c>
      <c r="L165" s="5" t="n">
        <v>70000</v>
      </c>
      <c r="M165" s="6" t="n">
        <f aca="false">K165*L165</f>
        <v>70000</v>
      </c>
      <c r="N165" s="5" t="n">
        <v>0</v>
      </c>
      <c r="O165" s="6" t="n">
        <f aca="false">M165-N165</f>
        <v>70000</v>
      </c>
      <c r="P165" s="7" t="n">
        <v>0.18</v>
      </c>
      <c r="Q165" s="6" t="n">
        <f aca="false">ROUND(O165*P165/2,0)</f>
        <v>6300</v>
      </c>
      <c r="R165" s="6" t="n">
        <f aca="false">ROUND(O165*P165/2,0)</f>
        <v>6300</v>
      </c>
      <c r="S165" s="6" t="n">
        <v>0</v>
      </c>
      <c r="T165" s="6" t="n">
        <f aca="false">O165+Q165+R165+S165</f>
        <v>82600</v>
      </c>
      <c r="U165" s="5" t="n">
        <v>82600</v>
      </c>
      <c r="V165" s="6" t="n">
        <f aca="false">T165-U165</f>
        <v>0</v>
      </c>
      <c r="W165" s="4" t="s">
        <v>1960</v>
      </c>
      <c r="X165" s="3" t="n">
        <v>46112</v>
      </c>
      <c r="Y165" s="4" t="s">
        <v>180</v>
      </c>
      <c r="Z165" s="2" t="s">
        <v>1915</v>
      </c>
      <c r="AA165" s="2"/>
    </row>
    <row r="166" customFormat="false" ht="15" hidden="false" customHeight="false" outlineLevel="0" collapsed="false">
      <c r="A166" s="2" t="s">
        <v>2353</v>
      </c>
      <c r="B166" s="2" t="s">
        <v>1856</v>
      </c>
      <c r="C166" s="3" t="n">
        <v>46089</v>
      </c>
      <c r="D166" s="3" t="n">
        <v>46104</v>
      </c>
      <c r="E166" s="4" t="s">
        <v>2068</v>
      </c>
      <c r="F166" s="2" t="s">
        <v>192</v>
      </c>
      <c r="G166" s="2" t="s">
        <v>193</v>
      </c>
      <c r="H166" s="4" t="s">
        <v>58</v>
      </c>
      <c r="I166" s="2" t="s">
        <v>2354</v>
      </c>
      <c r="J166" s="2" t="s">
        <v>2172</v>
      </c>
      <c r="K166" s="4" t="n">
        <v>1</v>
      </c>
      <c r="L166" s="5" t="n">
        <v>200000</v>
      </c>
      <c r="M166" s="6" t="n">
        <f aca="false">K166*L166</f>
        <v>200000</v>
      </c>
      <c r="N166" s="5" t="n">
        <v>10000</v>
      </c>
      <c r="O166" s="6" t="n">
        <f aca="false">M166-N166</f>
        <v>190000</v>
      </c>
      <c r="P166" s="7" t="n">
        <v>0.18</v>
      </c>
      <c r="Q166" s="6" t="n">
        <f aca="false">ROUND(O166*P166/2,0)</f>
        <v>17100</v>
      </c>
      <c r="R166" s="6" t="n">
        <f aca="false">ROUND(O166*P166/2,0)</f>
        <v>17100</v>
      </c>
      <c r="S166" s="6" t="n">
        <v>0</v>
      </c>
      <c r="T166" s="6" t="n">
        <f aca="false">O166+Q166+R166+S166</f>
        <v>224200</v>
      </c>
      <c r="U166" s="5" t="n">
        <v>224200</v>
      </c>
      <c r="V166" s="6" t="n">
        <f aca="false">T166-U166</f>
        <v>0</v>
      </c>
      <c r="W166" s="4" t="s">
        <v>1960</v>
      </c>
      <c r="X166" s="3" t="n">
        <v>46100</v>
      </c>
      <c r="Y166" s="4" t="s">
        <v>74</v>
      </c>
      <c r="Z166" s="2" t="s">
        <v>1853</v>
      </c>
      <c r="AA166" s="2"/>
    </row>
  </sheetData>
  <autoFilter ref="A1:AA1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2026-09-04T10:41:12Z</dcterms:created>
  <dc:creator>openpyxl</dc:creator>
  <dc:description/>
  <dc:language>en-US</dc:language>
  <cp:lastModifiedBy/>
  <dcterms:modified xsi:type="dcterms:W3CDTF">2026-09-04T10:41:13Z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